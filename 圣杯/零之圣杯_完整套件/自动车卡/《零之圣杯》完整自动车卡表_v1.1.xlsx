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4f644ed1b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页·导航" sheetId="1" r:id="R3105c5984f7b4376"/>
    <x:sheet xmlns:r="http://schemas.openxmlformats.org/officeDocument/2006/relationships" name="普通人构筑" sheetId="2" r:id="R02ad2b799291499b"/>
    <x:sheet xmlns:r="http://schemas.openxmlformats.org/officeDocument/2006/relationships" name="魔术师构筑" sheetId="3" r:id="R5c2bc12523c1441d"/>
    <x:sheet xmlns:r="http://schemas.openxmlformats.org/officeDocument/2006/relationships" name="从者构筑" sheetId="4" r:id="R6de4960b76ad4b33"/>
    <x:sheet xmlns:r="http://schemas.openxmlformats.org/officeDocument/2006/relationships" name="御主契约" sheetId="5" r:id="R2bccfb2500ef41ab"/>
    <x:sheet xmlns:r="http://schemas.openxmlformats.org/officeDocument/2006/relationships" name="打印·普通人" sheetId="6" r:id="R825b3c0189cf4d8f"/>
    <x:sheet xmlns:r="http://schemas.openxmlformats.org/officeDocument/2006/relationships" name="打印·魔术师" sheetId="7" r:id="R1ed5b78c59e74f0c"/>
    <x:sheet xmlns:r="http://schemas.openxmlformats.org/officeDocument/2006/relationships" name="打印·从者" sheetId="8" r:id="R8c0b4f5d48eb4665"/>
    <x:sheet xmlns:r="http://schemas.openxmlformats.org/officeDocument/2006/relationships" name="术式书" sheetId="9" r:id="R12415835c58244f3"/>
    <x:sheet xmlns:r="http://schemas.openxmlformats.org/officeDocument/2006/relationships" name="魔术礼装" sheetId="10" r:id="R0f81cb8ac2cb46c0"/>
    <x:sheet xmlns:r="http://schemas.openxmlformats.org/officeDocument/2006/relationships" name="职阶相性" sheetId="11" r:id="R8008680e993f4862"/>
    <x:sheet xmlns:r="http://schemas.openxmlformats.org/officeDocument/2006/relationships" name="成长·记录" sheetId="12" r:id="R380ea748cbb3475f"/>
    <x:sheet xmlns:r="http://schemas.openxmlformats.org/officeDocument/2006/relationships" name="规则数据" sheetId="13" r:id="R806e30f013d643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E8EEF3"/>
      <x:name val="Carlito"/>
    </x:font>
    <x:font>
      <x:sz val="11"/>
      <x:color rgb="FF243447"/>
      <x:name val="Carlito"/>
    </x:font>
    <x:font>
      <x:sz val="11"/>
      <x:color rgb="FF0D4F73"/>
      <x:name val="Carlito"/>
    </x:font>
    <x:font>
      <x:sz val="11"/>
      <x:color rgb="FF1F5F45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BFAF7"/>
      </x:patternFill>
    </x:fill>
    <x:fill>
      <x:patternFill patternType="solid">
        <x:fgColor rgb="FF1D8590"/>
      </x:patternFill>
    </x:fill>
    <x:fill>
      <x:patternFill patternType="solid">
        <x:fgColor rgb="FFA67C26"/>
      </x:patternFill>
    </x:fill>
    <x:fill>
      <x:patternFill patternType="solid">
        <x:fgColor rgb="FF2F7D5B"/>
      </x:patternFill>
    </x:fill>
    <x:fill>
      <x:patternFill patternType="solid">
        <x:fgColor rgb="FFAE334F"/>
      </x:patternFill>
    </x:fill>
    <x:fill>
      <x:patternFill patternType="solid">
        <x:fgColor rgb="FF7153A7"/>
      </x:patternFill>
    </x:fill>
    <x:fill>
      <x:patternFill patternType="solid">
        <x:fgColor rgb="FFF1ECF8"/>
      </x:patternFill>
    </x:fill>
    <x:fill>
      <x:patternFill patternType="solid">
        <x:fgColor rgb="FF183B56"/>
      </x:patternFill>
    </x:fill>
    <x:fill>
      <x:patternFill patternType="solid">
        <x:fgColor rgb="FFE8F1FA"/>
      </x:patternFill>
    </x:fill>
    <x:fill>
      <x:patternFill patternType="solid">
        <x:fgColor rgb="FFEAF5EE"/>
      </x:patternFill>
    </x:fill>
    <x:fill>
      <x:patternFill patternType="solid">
        <x:fgColor rgb="FFF7F0DE"/>
      </x:patternFill>
    </x:fill>
    <x:fill>
      <x:patternFill patternType="solid">
        <x:fgColor rgb="FFFFF1CF"/>
      </x:patternFill>
    </x:fill>
    <x:fill>
      <x:patternFill patternType="solid">
        <x:fgColor rgb="FFFCE3E6"/>
      </x:patternFill>
    </x:fill>
    <x:fill>
      <x:patternFill patternType="solid">
        <x:fgColor rgb="FFE7F4F5"/>
      </x:patternFill>
    </x:fill>
    <x:fill>
      <x:patternFill patternType="solid">
        <x:fgColor rgb="FFF8E9ED"/>
      </x:patternFill>
    </x:fill>
  </x:fills>
  <x:borders count="32">
    <x:border/>
    <x:border>
      <x:left style="thin">
        <x:color rgb="FF102A43"/>
      </x:left>
      <x:top style="thin">
        <x:color rgb="FF102A43"/>
      </x:top>
      <x:bottom style="thin">
        <x:color rgb="FF102A43"/>
      </x:bottom>
    </x:border>
    <x:border>
      <x:top style="thin">
        <x:color rgb="FF102A43"/>
      </x:top>
      <x:bottom style="thin">
        <x:color rgb="FF102A43"/>
      </x:bottom>
    </x:border>
    <x:border>
      <x:right style="thin">
        <x:color rgb="FF102A43"/>
      </x:right>
      <x:top style="thin">
        <x:color rgb="FF102A43"/>
      </x:top>
      <x:bottom style="thin">
        <x:color rgb="FF102A43"/>
      </x:bottom>
    </x:border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  <x:border>
      <x:left style="thin">
        <x:color rgb="FF1D8590"/>
      </x:left>
      <x:top style="thin">
        <x:color rgb="FF1D8590"/>
      </x:top>
      <x:bottom style="thin">
        <x:color rgb="FF1D8590"/>
      </x:bottom>
    </x:border>
    <x:border>
      <x:top style="thin">
        <x:color rgb="FF1D8590"/>
      </x:top>
      <x:bottom style="thin">
        <x:color rgb="FF1D8590"/>
      </x:bottom>
    </x:border>
    <x:border>
      <x:right style="thin">
        <x:color rgb="FF1D8590"/>
      </x:right>
      <x:top style="thin">
        <x:color rgb="FF1D8590"/>
      </x:top>
      <x:bottom style="thin">
        <x:color rgb="FF1D8590"/>
      </x:bottom>
    </x:border>
    <x:border>
      <x:left style="thin">
        <x:color rgb="FFA67C26"/>
      </x:left>
      <x:top style="thin">
        <x:color rgb="FFA67C26"/>
      </x:top>
      <x:bottom style="thin">
        <x:color rgb="FFA67C26"/>
      </x:bottom>
    </x:border>
    <x:border>
      <x:top style="thin">
        <x:color rgb="FFA67C26"/>
      </x:top>
      <x:bottom style="thin">
        <x:color rgb="FFA67C26"/>
      </x:bottom>
    </x:border>
    <x:border>
      <x:right style="thin">
        <x:color rgb="FFA67C26"/>
      </x:right>
      <x:top style="thin">
        <x:color rgb="FFA67C26"/>
      </x:top>
      <x:bottom style="thin">
        <x:color rgb="FFA67C26"/>
      </x:bottom>
    </x:border>
    <x:border>
      <x:left style="thin">
        <x:color rgb="FF2F7D5B"/>
      </x:left>
      <x:top style="thin">
        <x:color rgb="FF2F7D5B"/>
      </x:top>
      <x:bottom style="thin">
        <x:color rgb="FF2F7D5B"/>
      </x:bottom>
    </x:border>
    <x:border>
      <x:top style="thin">
        <x:color rgb="FF2F7D5B"/>
      </x:top>
      <x:bottom style="thin">
        <x:color rgb="FF2F7D5B"/>
      </x:bottom>
    </x:border>
    <x:border>
      <x:right style="thin">
        <x:color rgb="FF2F7D5B"/>
      </x:right>
      <x:top style="thin">
        <x:color rgb="FF2F7D5B"/>
      </x:top>
      <x:bottom style="thin">
        <x:color rgb="FF2F7D5B"/>
      </x:bottom>
    </x:border>
    <x:border>
      <x:left style="thin">
        <x:color rgb="FFAE334F"/>
      </x:left>
      <x:top style="thin">
        <x:color rgb="FFAE334F"/>
      </x:top>
      <x:bottom style="thin">
        <x:color rgb="FFAE334F"/>
      </x:bottom>
    </x:border>
    <x:border>
      <x:top style="thin">
        <x:color rgb="FFAE334F"/>
      </x:top>
      <x:bottom style="thin">
        <x:color rgb="FFAE334F"/>
      </x:bottom>
    </x:border>
    <x:border>
      <x:right style="thin">
        <x:color rgb="FFAE334F"/>
      </x:right>
      <x:top style="thin">
        <x:color rgb="FFAE334F"/>
      </x:top>
      <x:bottom style="thin">
        <x:color rgb="FFAE334F"/>
      </x:bottom>
    </x:border>
    <x:border>
      <x:left style="thin">
        <x:color rgb="FF7153A7"/>
      </x:left>
      <x:right style="thin">
        <x:color rgb="FF7153A7"/>
      </x:right>
      <x:top style="thin">
        <x:color rgb="FF7153A7"/>
      </x:top>
      <x:bottom style="thin">
        <x:color rgb="FF7153A7"/>
      </x:bottom>
    </x:border>
    <x:border>
      <x:left style="thin">
        <x:color rgb="FF183B56"/>
      </x:left>
      <x:right style="thin">
        <x:color rgb="FF183B56"/>
      </x:right>
      <x:top style="thin">
        <x:color rgb="FF183B56"/>
      </x:top>
      <x:bottom style="thin">
        <x:color rgb="FF183B56"/>
      </x:bottom>
    </x:border>
    <x:border>
      <x:left style="thin">
        <x:color rgb="FF183B56"/>
      </x:left>
      <x:top style="thin">
        <x:color rgb="FF183B56"/>
      </x:top>
      <x:bottom style="thin">
        <x:color rgb="FF183B56"/>
      </x:bottom>
    </x:border>
    <x:border>
      <x:right style="thin">
        <x:color rgb="FF183B56"/>
      </x:right>
      <x:top style="thin">
        <x:color rgb="FF183B56"/>
      </x:top>
      <x:bottom style="thin">
        <x:color rgb="FF183B56"/>
      </x:bottom>
    </x:border>
    <x:border>
      <x:left style="thin">
        <x:color rgb="FF2F7D5B"/>
      </x:left>
      <x:right style="thin">
        <x:color rgb="FF2F7D5B"/>
      </x:right>
      <x:top style="thin">
        <x:color rgb="FF2F7D5B"/>
      </x:top>
      <x:bottom style="thin">
        <x:color rgb="FF2F7D5B"/>
      </x:bottom>
    </x:border>
    <x:border>
      <x:left style="thin">
        <x:color rgb="FFAE334F"/>
      </x:left>
      <x:right style="thin">
        <x:color rgb="FFAE334F"/>
      </x:right>
      <x:top style="thin">
        <x:color rgb="FFAE334F"/>
      </x:top>
      <x:bottom style="thin">
        <x:color rgb="FFAE334F"/>
      </x:bottom>
    </x:border>
    <x:border>
      <x:left style="thin">
        <x:color rgb="FF7FA9C5"/>
      </x:left>
      <x:right style="thin">
        <x:color rgb="FF7FA9C5"/>
      </x:right>
      <x:top style="thin">
        <x:color rgb="FF7FA9C5"/>
      </x:top>
      <x:bottom style="thin">
        <x:color rgb="FF7FA9C5"/>
      </x:bottom>
    </x:border>
    <x:border>
      <x:left style="thin">
        <x:color rgb="FF95BFA8"/>
      </x:left>
      <x:right style="thin">
        <x:color rgb="FF95BFA8"/>
      </x:right>
      <x:top style="thin">
        <x:color rgb="FF95BFA8"/>
      </x:top>
      <x:bottom style="thin">
        <x:color rgb="FF95BFA8"/>
      </x:bottom>
    </x:border>
    <x:border>
      <x:top style="thin">
        <x:color rgb="FF183B56"/>
      </x:top>
      <x:bottom style="thin">
        <x:color rgb="FF183B56"/>
      </x:bottom>
    </x:border>
    <x:border>
      <x:left style="thin">
        <x:color rgb="FF7153A7"/>
      </x:left>
      <x:top style="thin">
        <x:color rgb="FF7153A7"/>
      </x:top>
      <x:bottom style="thin">
        <x:color rgb="FF7153A7"/>
      </x:bottom>
    </x:border>
    <x:border>
      <x:top style="thin">
        <x:color rgb="FF7153A7"/>
      </x:top>
      <x:bottom style="thin">
        <x:color rgb="FF7153A7"/>
      </x:bottom>
    </x:border>
    <x:border>
      <x:right style="thin">
        <x:color rgb="FF7153A7"/>
      </x:right>
      <x:top style="thin">
        <x:color rgb="FF7153A7"/>
      </x:top>
      <x:bottom style="thin">
        <x:color rgb="FF7153A7"/>
      </x:bottom>
    </x:border>
    <x:border>
      <x:left style="thin">
        <x:color rgb="FFB8C5D1"/>
      </x:left>
      <x:top style="thin">
        <x:color rgb="FFB8C5D1"/>
      </x:top>
      <x:bottom style="thin">
        <x:color rgb="FFB8C5D1"/>
      </x:bottom>
    </x:border>
    <x:border>
      <x:top style="thin">
        <x:color rgb="FFB8C5D1"/>
      </x:top>
      <x:bottom style="thin">
        <x:color rgb="FFB8C5D1"/>
      </x:bottom>
    </x:border>
    <x:border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2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left"/>
    </x:xf>
    <x:xf numFmtId="0" fontId="1" fillId="2" borderId="3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left" vertical="center"/>
    </x:xf>
    <x:xf numFmtId="0" fontId="1" fillId="2" borderId="4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7" xfId="0" applyNumberFormat="1" applyFont="1" applyFill="1" applyBorder="1"/>
    <x:xf numFmtId="0" fontId="1" fillId="4" borderId="5" xfId="0" applyNumberFormat="1" applyFont="1" applyFill="1" applyBorder="1" applyAlignment="1">
      <x:alignment horizontal="left"/>
    </x:xf>
    <x:xf numFmtId="0" fontId="1" fillId="4" borderId="6" xfId="0" applyNumberFormat="1" applyFont="1" applyFill="1" applyBorder="1" applyAlignment="1">
      <x:alignment horizontal="left"/>
    </x:xf>
    <x:xf numFmtId="0" fontId="1" fillId="4" borderId="7" xfId="0" applyNumberFormat="1" applyFont="1" applyFill="1" applyBorder="1" applyAlignment="1">
      <x:alignment horizontal="left"/>
    </x:xf>
    <x:xf numFmtId="0" fontId="1" fillId="4" borderId="5" xfId="0" applyNumberFormat="1" applyFont="1" applyFill="1" applyBorder="1" applyAlignment="1">
      <x:alignment horizontal="left" vertical="center"/>
    </x:xf>
    <x:xf numFmtId="0" fontId="1" fillId="4" borderId="6" xfId="0" applyNumberFormat="1" applyFont="1" applyFill="1" applyBorder="1" applyAlignment="1">
      <x:alignment horizontal="left" vertical="center"/>
    </x:xf>
    <x:xf numFmtId="0" fontId="1" fillId="4" borderId="7" xfId="0" applyNumberFormat="1" applyFont="1" applyFill="1" applyBorder="1" applyAlignment="1">
      <x:alignment horizontal="left" vertical="center"/>
    </x:xf>
    <x:xf numFmtId="0" fontId="1" fillId="4" borderId="4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8" xfId="0" applyNumberFormat="1" applyFont="1" applyFill="1" applyBorder="1"/>
    <x:xf numFmtId="0" fontId="1" fillId="5" borderId="9" xfId="0" applyNumberFormat="1" applyFont="1" applyFill="1" applyBorder="1"/>
    <x:xf numFmtId="0" fontId="1" fillId="5" borderId="10" xfId="0" applyNumberFormat="1" applyFont="1" applyFill="1" applyBorder="1"/>
    <x:xf numFmtId="0" fontId="1" fillId="5" borderId="8" xfId="0" applyNumberFormat="1" applyFont="1" applyFill="1" applyBorder="1" applyAlignment="1">
      <x:alignment horizontal="left"/>
    </x:xf>
    <x:xf numFmtId="0" fontId="1" fillId="5" borderId="9" xfId="0" applyNumberFormat="1" applyFont="1" applyFill="1" applyBorder="1" applyAlignment="1">
      <x:alignment horizontal="left"/>
    </x:xf>
    <x:xf numFmtId="0" fontId="1" fillId="5" borderId="10" xfId="0" applyNumberFormat="1" applyFont="1" applyFill="1" applyBorder="1" applyAlignment="1">
      <x:alignment horizontal="left"/>
    </x:xf>
    <x:xf numFmtId="0" fontId="1" fillId="5" borderId="8" xfId="0" applyNumberFormat="1" applyFont="1" applyFill="1" applyBorder="1" applyAlignment="1">
      <x:alignment horizontal="left" vertical="center"/>
    </x:xf>
    <x:xf numFmtId="0" fontId="1" fillId="5" borderId="9" xfId="0" applyNumberFormat="1" applyFont="1" applyFill="1" applyBorder="1" applyAlignment="1">
      <x:alignment horizontal="left" vertical="center"/>
    </x:xf>
    <x:xf numFmtId="0" fontId="1" fillId="5" borderId="10" xfId="0" applyNumberFormat="1" applyFont="1" applyFill="1" applyBorder="1" applyAlignment="1">
      <x:alignment horizontal="left" vertical="center"/>
    </x:xf>
    <x:xf numFmtId="0" fontId="1" fillId="5" borderId="4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left" wrapText="1"/>
    </x:xf>
    <x:xf numFmtId="0" fontId="3" fillId="3" borderId="4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1" xfId="0" applyNumberFormat="1" applyFont="1" applyFill="1" applyBorder="1"/>
    <x:xf numFmtId="0" fontId="1" fillId="6" borderId="12" xfId="0" applyNumberFormat="1" applyFont="1" applyFill="1" applyBorder="1"/>
    <x:xf numFmtId="0" fontId="1" fillId="6" borderId="13" xfId="0" applyNumberFormat="1" applyFont="1" applyFill="1" applyBorder="1"/>
    <x:xf numFmtId="0" fontId="1" fillId="6" borderId="11" xfId="0" applyNumberFormat="1" applyFont="1" applyFill="1" applyBorder="1" applyAlignment="1">
      <x:alignment horizontal="left"/>
    </x:xf>
    <x:xf numFmtId="0" fontId="1" fillId="6" borderId="12" xfId="0" applyNumberFormat="1" applyFont="1" applyFill="1" applyBorder="1" applyAlignment="1">
      <x:alignment horizontal="left"/>
    </x:xf>
    <x:xf numFmtId="0" fontId="1" fillId="6" borderId="13" xfId="0" applyNumberFormat="1" applyFont="1" applyFill="1" applyBorder="1" applyAlignment="1">
      <x:alignment horizontal="left"/>
    </x:xf>
    <x:xf numFmtId="0" fontId="1" fillId="6" borderId="11" xfId="0" applyNumberFormat="1" applyFont="1" applyFill="1" applyBorder="1" applyAlignment="1">
      <x:alignment horizontal="left" vertical="center"/>
    </x:xf>
    <x:xf numFmtId="0" fontId="1" fillId="6" borderId="12" xfId="0" applyNumberFormat="1" applyFont="1" applyFill="1" applyBorder="1" applyAlignment="1">
      <x:alignment horizontal="left" vertical="center"/>
    </x:xf>
    <x:xf numFmtId="0" fontId="1" fillId="6" borderId="13" xfId="0" applyNumberFormat="1" applyFont="1" applyFill="1" applyBorder="1" applyAlignment="1">
      <x:alignment horizontal="left" vertical="center"/>
    </x:xf>
    <x:xf numFmtId="0" fontId="1" fillId="6" borderId="4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14" xfId="0" applyNumberFormat="1" applyFont="1" applyFill="1" applyBorder="1"/>
    <x:xf numFmtId="0" fontId="1" fillId="7" borderId="15" xfId="0" applyNumberFormat="1" applyFont="1" applyFill="1" applyBorder="1"/>
    <x:xf numFmtId="0" fontId="1" fillId="7" borderId="16" xfId="0" applyNumberFormat="1" applyFont="1" applyFill="1" applyBorder="1"/>
    <x:xf numFmtId="0" fontId="1" fillId="7" borderId="14" xfId="0" applyNumberFormat="1" applyFont="1" applyFill="1" applyBorder="1" applyAlignment="1">
      <x:alignment horizontal="left"/>
    </x:xf>
    <x:xf numFmtId="0" fontId="1" fillId="7" borderId="15" xfId="0" applyNumberFormat="1" applyFont="1" applyFill="1" applyBorder="1" applyAlignment="1">
      <x:alignment horizontal="left"/>
    </x:xf>
    <x:xf numFmtId="0" fontId="1" fillId="7" borderId="16" xfId="0" applyNumberFormat="1" applyFont="1" applyFill="1" applyBorder="1" applyAlignment="1">
      <x:alignment horizontal="left"/>
    </x:xf>
    <x:xf numFmtId="0" fontId="1" fillId="7" borderId="14" xfId="0" applyNumberFormat="1" applyFont="1" applyFill="1" applyBorder="1" applyAlignment="1">
      <x:alignment horizontal="left" vertical="center"/>
    </x:xf>
    <x:xf numFmtId="0" fontId="1" fillId="7" borderId="15" xfId="0" applyNumberFormat="1" applyFont="1" applyFill="1" applyBorder="1" applyAlignment="1">
      <x:alignment horizontal="left" vertical="center"/>
    </x:xf>
    <x:xf numFmtId="0" fontId="1" fillId="7" borderId="16" xfId="0" applyNumberFormat="1" applyFont="1" applyFill="1" applyBorder="1" applyAlignment="1">
      <x:alignment horizontal="left" vertical="center"/>
    </x:xf>
    <x:xf numFmtId="0" fontId="1" fillId="7" borderId="4" xfId="0" applyNumberFormat="1" applyFont="1" applyFill="1" applyBorder="1"/>
    <x:xf numFmtId="0" fontId="1" fillId="7" borderId="4" xfId="0" applyNumberFormat="1" applyFont="1" applyFill="1" applyBorder="1" applyAlignment="1">
      <x:alignment wrapText="1"/>
    </x:xf>
    <x:xf numFmtId="0" fontId="1" fillId="7" borderId="4" xfId="0" applyNumberFormat="1" applyFont="1" applyFill="1" applyBorder="1" applyAlignment="1">
      <x:alignment horizont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17" xfId="0" applyNumberFormat="1" applyFont="1" applyFill="1" applyBorder="1"/>
    <x:xf numFmtId="0" fontId="1" fillId="8" borderId="17" xfId="0" applyNumberFormat="1" applyFont="1" applyFill="1" applyBorder="1" applyAlignment="1">
      <x:alignment horizontal="left"/>
    </x:xf>
    <x:xf numFmtId="0" fontId="1" fillId="8" borderId="17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4" xfId="0" applyNumberFormat="1" applyFont="1" applyFill="1" applyBorder="1"/>
    <x:xf numFmtId="0" fontId="3" fillId="9" borderId="4" xfId="0" applyNumberFormat="1" applyFont="1" applyFill="1" applyBorder="1" applyAlignment="1">
      <x:alignment wrapText="1"/>
    </x:xf>
    <x:xf numFmtId="0" fontId="3" fillId="9" borderId="4" xfId="0" applyNumberFormat="1" applyFont="1" applyFill="1" applyBorder="1" applyAlignment="1">
      <x:alignment horizontal="left" wrapText="1"/>
    </x:xf>
    <x:xf numFmtId="0" fontId="3" fillId="9" borderId="4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18" xfId="0" applyNumberFormat="1" applyFont="1" applyFill="1" applyBorder="1"/>
    <x:xf numFmtId="0" fontId="1" fillId="10" borderId="18" xfId="0" applyNumberFormat="1" applyFont="1" applyFill="1" applyBorder="1" applyAlignment="1">
      <x:alignment horizontal="left"/>
    </x:xf>
    <x:xf numFmtId="0" fontId="1" fillId="10" borderId="18" xfId="0" applyNumberFormat="1" applyFont="1" applyFill="1" applyBorder="1" applyAlignment="1">
      <x:alignment horizontal="left" vertical="center"/>
    </x:xf>
    <x:xf numFmtId="0" fontId="1" fillId="10" borderId="19" xfId="0" applyNumberFormat="1" applyFont="1" applyFill="1" applyBorder="1"/>
    <x:xf numFmtId="0" fontId="1" fillId="10" borderId="20" xfId="0" applyNumberFormat="1" applyFont="1" applyFill="1" applyBorder="1"/>
    <x:xf numFmtId="0" fontId="1" fillId="10" borderId="19" xfId="0" applyNumberFormat="1" applyFont="1" applyFill="1" applyBorder="1" applyAlignment="1">
      <x:alignment horizontal="left"/>
    </x:xf>
    <x:xf numFmtId="0" fontId="1" fillId="10" borderId="20" xfId="0" applyNumberFormat="1" applyFont="1" applyFill="1" applyBorder="1" applyAlignment="1">
      <x:alignment horizontal="left"/>
    </x:xf>
    <x:xf numFmtId="0" fontId="1" fillId="10" borderId="19" xfId="0" applyNumberFormat="1" applyFont="1" applyFill="1" applyBorder="1" applyAlignment="1">
      <x:alignment horizontal="left" vertical="center"/>
    </x:xf>
    <x:xf numFmtId="0" fontId="1" fillId="10" borderId="20" xfId="0" applyNumberFormat="1" applyFont="1" applyFill="1" applyBorder="1" applyAlignment="1">
      <x:alignment horizontal="left" vertical="center"/>
    </x:xf>
    <x:xf numFmtId="0" fontId="1" fillId="6" borderId="21" xfId="0" applyNumberFormat="1" applyFont="1" applyFill="1" applyBorder="1"/>
    <x:xf numFmtId="0" fontId="1" fillId="6" borderId="21" xfId="0" applyNumberFormat="1" applyFont="1" applyFill="1" applyBorder="1" applyAlignment="1">
      <x:alignment horizontal="left"/>
    </x:xf>
    <x:xf numFmtId="0" fontId="1" fillId="6" borderId="21" xfId="0" applyNumberFormat="1" applyFont="1" applyFill="1" applyBorder="1" applyAlignment="1">
      <x:alignment horizontal="left" vertical="center"/>
    </x:xf>
    <x:xf numFmtId="0" fontId="1" fillId="7" borderId="22" xfId="0" applyNumberFormat="1" applyFont="1" applyFill="1" applyBorder="1"/>
    <x:xf numFmtId="0" fontId="1" fillId="7" borderId="22" xfId="0" applyNumberFormat="1" applyFont="1" applyFill="1" applyBorder="1" applyAlignment="1">
      <x:alignment horizontal="left"/>
    </x:xf>
    <x:xf numFmtId="0" fontId="1" fillId="7" borderId="22" xfId="0" applyNumberFormat="1" applyFont="1" applyFill="1" applyBorder="1" applyAlignment="1">
      <x:alignment horizontal="left" vertical="center"/>
    </x:xf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2" fillId="8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23" xfId="0" applyNumberFormat="1" applyFont="1" applyFill="1" applyBorder="1"/>
    <x:xf numFmtId="0" fontId="4" fillId="11" borderId="23" xfId="0" applyNumberFormat="1" applyFont="1" applyFill="1" applyBorder="1" applyAlignment="1">
      <x:alignment wrapText="1"/>
    </x:xf>
    <x:xf numFmtId="0" fontId="4" fillId="11" borderId="23" xfId="0" applyNumberFormat="1" applyFont="1" applyFill="1" applyBorder="1" applyAlignment="1">
      <x:alignment horizontal="left" wrapText="1"/>
    </x:xf>
    <x:xf numFmtId="0" fontId="4" fillId="11" borderId="23" xfId="0" applyNumberFormat="1" applyFont="1" applyFill="1" applyBorder="1" applyAlignment="1">
      <x:alignment horizontal="left" vertical="center" wrapText="1"/>
    </x:xf>
    <x:xf numFmtId="0" fontId="1" fillId="8" borderId="4" xfId="0" applyNumberFormat="1" applyFont="1" applyFill="1" applyBorder="1"/>
    <x:xf numFmtId="0" fontId="1" fillId="8" borderId="4" xfId="0" applyNumberFormat="1" applyFont="1" applyFill="1" applyBorder="1" applyAlignment="1">
      <x:alignment wrapText="1"/>
    </x:xf>
    <x:xf numFmtId="0" fontId="1" fillId="8" borderId="4" xfId="0" applyNumberFormat="1" applyFont="1" applyFill="1" applyBorder="1" applyAlignment="1">
      <x:alignment horizontal="center" wrapText="1"/>
    </x:xf>
    <x:xf numFmtId="0" fontId="1" fillId="8" borderId="4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24" xfId="0" applyNumberFormat="1" applyFont="1" applyFill="1" applyBorder="1"/>
    <x:xf numFmtId="0" fontId="5" fillId="12" borderId="24" xfId="0" applyNumberFormat="1" applyFont="1" applyFill="1" applyBorder="1" applyAlignment="1">
      <x:alignment wrapText="1"/>
    </x:xf>
    <x:xf numFmtId="0" fontId="5" fillId="12" borderId="24" xfId="0" applyNumberFormat="1" applyFont="1" applyFill="1" applyBorder="1" applyAlignment="1">
      <x:alignment horizontal="center" wrapText="1"/>
    </x:xf>
    <x:xf numFmtId="0" fontId="5" fillId="12" borderId="24" xfId="0" applyNumberFormat="1" applyFont="1" applyFill="1" applyBorder="1" applyAlignment="1">
      <x:alignment horizontal="center" vertical="center" wrapText="1"/>
    </x:xf>
    <x:xf numFmtId="0" fontId="5" fillId="12" borderId="24" xfId="0" applyNumberFormat="1" applyFont="1" applyFill="1" applyBorder="1" applyAlignment="1">
      <x:alignment horizontal="left" wrapText="1"/>
    </x:xf>
    <x:xf numFmtId="0" fontId="5" fillId="12" borderId="24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2" fillId="5" borderId="0" xfId="0" applyNumberFormat="1" applyFont="1" applyFill="1" applyBorder="1" applyAlignment="1">
      <x:alignment horizontal="left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4" xfId="0" applyNumberFormat="1" applyFont="1" applyFill="1" applyBorder="1"/>
    <x:xf numFmtId="0" fontId="3" fillId="13" borderId="4" xfId="0" applyNumberFormat="1" applyFont="1" applyFill="1" applyBorder="1" applyAlignment="1">
      <x:alignment wrapText="1"/>
    </x:xf>
    <x:xf numFmtId="0" fontId="3" fillId="13" borderId="4" xfId="0" applyNumberFormat="1" applyFont="1" applyFill="1" applyBorder="1" applyAlignment="1">
      <x:alignment horizontal="left" wrapText="1"/>
    </x:xf>
    <x:xf numFmtId="0" fontId="3" fillId="13" borderId="4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horizontal="left" vertical="center"/>
    </x:xf>
    <x:xf numFmtId="0" fontId="3" fillId="12" borderId="4" xfId="0" applyNumberFormat="1" applyFont="1" applyFill="1" applyBorder="1" applyAlignment="1">
      <x:alignment horizontal="left" vertical="center" wrapText="1"/>
    </x:xf>
    <x:xf numFmtId="0" fontId="5" fillId="12" borderId="4" xfId="0" applyNumberFormat="1" applyFont="1" applyFill="1" applyBorder="1" applyAlignment="1">
      <x:alignment horizontal="left" vertical="center" wrapText="1"/>
    </x:xf>
    <x:xf numFmtId="0" fontId="3" fillId="11" borderId="4" xfId="0" applyNumberFormat="1" applyFont="1" applyFill="1" applyBorder="1" applyAlignment="1">
      <x:alignment horizontal="left" vertical="center" wrapText="1"/>
    </x:xf>
    <x:xf numFmtId="0" fontId="3" fillId="14" borderId="4" xfId="0" applyNumberFormat="1" applyFont="1" applyFill="1" applyBorder="1" applyAlignment="1">
      <x:alignment horizontal="left" vertical="center" wrapText="1"/>
    </x:xf>
    <x:xf numFmtId="0" fontId="3" fillId="15" borderId="4" xfId="0" applyNumberFormat="1" applyFont="1" applyFill="1" applyBorder="1" applyAlignment="1">
      <x:alignment horizontal="left" vertical="center" wrapText="1"/>
    </x:xf>
    <x:xf numFmtId="0" fontId="3" fillId="5" borderId="4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left" vertical="center" wrapText="1"/>
    </x:xf>
    <x:xf numFmtId="0" fontId="4" fillId="11" borderId="4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 applyAlignment="1">
      <x:alignment horizontal="left" vertical="center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3" fillId="11" borderId="4" xfId="0" applyNumberFormat="1" applyFont="1" applyFill="1" applyBorder="1" applyAlignment="1">
      <x:alignment horizontal="center" vertical="center" wrapText="1"/>
    </x:xf>
    <x:xf numFmtId="0" fontId="4" fillId="11" borderId="4" xfId="0" applyNumberFormat="1" applyFont="1" applyFill="1" applyBorder="1" applyAlignment="1">
      <x:alignment horizontal="center" vertical="center" wrapText="1"/>
    </x:xf>
    <x:xf numFmtId="0" fontId="4" fillId="11" borderId="23" xfId="0" applyNumberFormat="1" applyFont="1" applyFill="1" applyBorder="1" applyAlignment="1">
      <x:alignment horizontal="center" vertical="center" wrapText="1"/>
    </x:xf>
    <x:xf numFmtId="0" fontId="3" fillId="12" borderId="4" xfId="0" applyNumberFormat="1" applyFont="1" applyFill="1" applyBorder="1" applyAlignment="1">
      <x:alignment horizontal="center" vertical="center" wrapText="1"/>
    </x:xf>
    <x:xf numFmtId="0" fontId="5" fillId="12" borderId="4" xfId="0" applyNumberFormat="1" applyFont="1" applyFill="1" applyBorder="1" applyAlignment="1">
      <x:alignment horizontal="center" vertical="center" wrapText="1"/>
    </x:xf>
    <x:xf numFmtId="0" fontId="1" fillId="10" borderId="4" xfId="0" applyNumberFormat="1" applyFont="1" applyFill="1" applyBorder="1"/>
    <x:xf numFmtId="0" fontId="1" fillId="10" borderId="4" xfId="0" applyNumberFormat="1" applyFont="1" applyFill="1" applyBorder="1" applyAlignment="1">
      <x:alignment wrapText="1"/>
    </x:xf>
    <x:xf numFmtId="0" fontId="1" fillId="10" borderId="4" xfId="0" applyNumberFormat="1" applyFont="1" applyFill="1" applyBorder="1" applyAlignment="1">
      <x:alignment horizontal="center" wrapText="1"/>
    </x:xf>
    <x:xf numFmtId="0" fontId="1" fillId="10" borderId="4" xfId="0" applyNumberFormat="1" applyFont="1" applyFill="1" applyBorder="1" applyAlignment="1">
      <x:alignment horizontal="center" vertical="center" wrapText="1"/>
    </x:xf>
    <x:xf numFmtId="0" fontId="1" fillId="10" borderId="25" xfId="0" applyNumberFormat="1" applyFont="1" applyFill="1" applyBorder="1"/>
    <x:xf numFmtId="0" fontId="1" fillId="10" borderId="25" xfId="0" applyNumberFormat="1" applyFont="1" applyFill="1" applyBorder="1" applyAlignment="1">
      <x:alignment horizontal="left"/>
    </x:xf>
    <x:xf numFmtId="0" fontId="1" fillId="10" borderId="25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4" xfId="0" applyNumberFormat="1" applyFont="1" applyFill="1" applyBorder="1"/>
    <x:xf numFmtId="0" fontId="3" fillId="16" borderId="4" xfId="0" applyNumberFormat="1" applyFont="1" applyFill="1" applyBorder="1" applyAlignment="1">
      <x:alignment wrapText="1"/>
    </x:xf>
    <x:xf numFmtId="0" fontId="3" fillId="16" borderId="4" xfId="0" applyNumberFormat="1" applyFont="1" applyFill="1" applyBorder="1" applyAlignment="1">
      <x:alignment horizontal="left" wrapText="1"/>
    </x:xf>
    <x:xf numFmtId="0" fontId="3" fillId="16" borderId="4" xfId="0" applyNumberFormat="1" applyFont="1" applyFill="1" applyBorder="1" applyAlignment="1">
      <x:alignment horizontal="left" vertical="center" wrapText="1"/>
    </x:xf>
    <x:xf numFmtId="0" fontId="1" fillId="8" borderId="26" xfId="0" applyNumberFormat="1" applyFont="1" applyFill="1" applyBorder="1"/>
    <x:xf numFmtId="0" fontId="1" fillId="8" borderId="27" xfId="0" applyNumberFormat="1" applyFont="1" applyFill="1" applyBorder="1"/>
    <x:xf numFmtId="0" fontId="1" fillId="8" borderId="28" xfId="0" applyNumberFormat="1" applyFont="1" applyFill="1" applyBorder="1"/>
    <x:xf numFmtId="0" fontId="1" fillId="8" borderId="26" xfId="0" applyNumberFormat="1" applyFont="1" applyFill="1" applyBorder="1" applyAlignment="1">
      <x:alignment horizontal="left"/>
    </x:xf>
    <x:xf numFmtId="0" fontId="1" fillId="8" borderId="27" xfId="0" applyNumberFormat="1" applyFont="1" applyFill="1" applyBorder="1" applyAlignment="1">
      <x:alignment horizontal="left"/>
    </x:xf>
    <x:xf numFmtId="0" fontId="1" fillId="8" borderId="28" xfId="0" applyNumberFormat="1" applyFont="1" applyFill="1" applyBorder="1" applyAlignment="1">
      <x:alignment horizontal="left"/>
    </x:xf>
    <x:xf numFmtId="0" fontId="1" fillId="8" borderId="26" xfId="0" applyNumberFormat="1" applyFont="1" applyFill="1" applyBorder="1" applyAlignment="1">
      <x:alignment horizontal="left" vertical="center"/>
    </x:xf>
    <x:xf numFmtId="0" fontId="1" fillId="8" borderId="27" xfId="0" applyNumberFormat="1" applyFont="1" applyFill="1" applyBorder="1" applyAlignment="1">
      <x:alignment horizontal="left" vertical="center"/>
    </x:xf>
    <x:xf numFmtId="0" fontId="1" fillId="8" borderId="28" xfId="0" applyNumberFormat="1" applyFont="1" applyFill="1" applyBorder="1" applyAlignment="1">
      <x:alignment horizontal="left" vertical="center"/>
    </x:xf>
    <x:xf numFmtId="0" fontId="3" fillId="9" borderId="29" xfId="0" applyNumberFormat="1" applyFont="1" applyFill="1" applyBorder="1"/>
    <x:xf numFmtId="0" fontId="3" fillId="9" borderId="30" xfId="0" applyNumberFormat="1" applyFont="1" applyFill="1" applyBorder="1"/>
    <x:xf numFmtId="0" fontId="3" fillId="9" borderId="31" xfId="0" applyNumberFormat="1" applyFont="1" applyFill="1" applyBorder="1"/>
    <x:xf numFmtId="0" fontId="3" fillId="9" borderId="29" xfId="0" applyNumberFormat="1" applyFont="1" applyFill="1" applyBorder="1" applyAlignment="1">
      <x:alignment wrapText="1"/>
    </x:xf>
    <x:xf numFmtId="0" fontId="3" fillId="9" borderId="30" xfId="0" applyNumberFormat="1" applyFont="1" applyFill="1" applyBorder="1" applyAlignment="1">
      <x:alignment wrapText="1"/>
    </x:xf>
    <x:xf numFmtId="0" fontId="3" fillId="9" borderId="31" xfId="0" applyNumberFormat="1" applyFont="1" applyFill="1" applyBorder="1" applyAlignment="1">
      <x:alignment wrapText="1"/>
    </x:xf>
    <x:xf numFmtId="0" fontId="3" fillId="9" borderId="29" xfId="0" applyNumberFormat="1" applyFont="1" applyFill="1" applyBorder="1" applyAlignment="1">
      <x:alignment horizontal="left" wrapText="1"/>
    </x:xf>
    <x:xf numFmtId="0" fontId="3" fillId="9" borderId="30" xfId="0" applyNumberFormat="1" applyFont="1" applyFill="1" applyBorder="1" applyAlignment="1">
      <x:alignment horizontal="left" wrapText="1"/>
    </x:xf>
    <x:xf numFmtId="0" fontId="3" fillId="9" borderId="31" xfId="0" applyNumberFormat="1" applyFont="1" applyFill="1" applyBorder="1" applyAlignment="1">
      <x:alignment horizontal="left" wrapText="1"/>
    </x:xf>
    <x:xf numFmtId="0" fontId="3" fillId="9" borderId="29" xfId="0" applyNumberFormat="1" applyFont="1" applyFill="1" applyBorder="1" applyAlignment="1">
      <x:alignment horizontal="left" vertical="center" wrapText="1"/>
    </x:xf>
    <x:xf numFmtId="0" fontId="3" fillId="9" borderId="30" xfId="0" applyNumberFormat="1" applyFont="1" applyFill="1" applyBorder="1" applyAlignment="1">
      <x:alignment horizontal="left" vertical="center" wrapText="1"/>
    </x:xf>
    <x:xf numFmtId="0" fontId="3" fillId="9" borderId="31" xfId="0" applyNumberFormat="1" applyFont="1" applyFill="1" applyBorder="1" applyAlignment="1">
      <x:alignment horizontal="left" vertical="center" wrapText="1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4" xfId="0" applyNumberFormat="1" applyFont="1" applyFill="1" applyBorder="1"/>
    <x:xf numFmtId="0" fontId="3" fillId="17" borderId="4" xfId="0" applyNumberFormat="1" applyFont="1" applyFill="1" applyBorder="1" applyAlignment="1">
      <x:alignment wrapText="1"/>
    </x:xf>
    <x:xf numFmtId="0" fontId="3" fillId="17" borderId="4" xfId="0" applyNumberFormat="1" applyFont="1" applyFill="1" applyBorder="1" applyAlignment="1">
      <x:alignment horizontal="center" wrapText="1"/>
    </x:xf>
    <x:xf numFmtId="0" fontId="3" fillId="17" borderId="4" xfId="0" applyNumberFormat="1" applyFont="1" applyFill="1" applyBorder="1" applyAlignment="1">
      <x:alignment horizontal="center" vertical="center" wrapText="1"/>
    </x:xf>
    <x:xf numFmtId="0" fontId="3" fillId="13" borderId="29" xfId="0" applyNumberFormat="1" applyFont="1" applyFill="1" applyBorder="1"/>
    <x:xf numFmtId="0" fontId="3" fillId="13" borderId="30" xfId="0" applyNumberFormat="1" applyFont="1" applyFill="1" applyBorder="1"/>
    <x:xf numFmtId="0" fontId="3" fillId="13" borderId="31" xfId="0" applyNumberFormat="1" applyFont="1" applyFill="1" applyBorder="1"/>
    <x:xf numFmtId="0" fontId="3" fillId="13" borderId="29" xfId="0" applyNumberFormat="1" applyFont="1" applyFill="1" applyBorder="1" applyAlignment="1">
      <x:alignment wrapText="1"/>
    </x:xf>
    <x:xf numFmtId="0" fontId="3" fillId="13" borderId="30" xfId="0" applyNumberFormat="1" applyFont="1" applyFill="1" applyBorder="1" applyAlignment="1">
      <x:alignment wrapText="1"/>
    </x:xf>
    <x:xf numFmtId="0" fontId="3" fillId="13" borderId="31" xfId="0" applyNumberFormat="1" applyFont="1" applyFill="1" applyBorder="1" applyAlignment="1">
      <x:alignment wrapText="1"/>
    </x:xf>
    <x:xf numFmtId="0" fontId="3" fillId="13" borderId="29" xfId="0" applyNumberFormat="1" applyFont="1" applyFill="1" applyBorder="1" applyAlignment="1">
      <x:alignment horizontal="left" wrapText="1"/>
    </x:xf>
    <x:xf numFmtId="0" fontId="3" fillId="13" borderId="30" xfId="0" applyNumberFormat="1" applyFont="1" applyFill="1" applyBorder="1" applyAlignment="1">
      <x:alignment horizontal="left" wrapText="1"/>
    </x:xf>
    <x:xf numFmtId="0" fontId="3" fillId="13" borderId="31" xfId="0" applyNumberFormat="1" applyFont="1" applyFill="1" applyBorder="1" applyAlignment="1">
      <x:alignment horizontal="left" wrapText="1"/>
    </x:xf>
    <x:xf numFmtId="0" fontId="3" fillId="13" borderId="29" xfId="0" applyNumberFormat="1" applyFont="1" applyFill="1" applyBorder="1" applyAlignment="1">
      <x:alignment horizontal="left" vertical="center" wrapText="1"/>
    </x:xf>
    <x:xf numFmtId="0" fontId="3" fillId="13" borderId="30" xfId="0" applyNumberFormat="1" applyFont="1" applyFill="1" applyBorder="1" applyAlignment="1">
      <x:alignment horizontal="left" vertical="center" wrapText="1"/>
    </x:xf>
    <x:xf numFmtId="0" fontId="3" fillId="13" borderId="31" xfId="0" applyNumberFormat="1" applyFont="1" applyFill="1" applyBorder="1" applyAlignment="1">
      <x:alignment horizontal="left" vertical="center" wrapText="1"/>
    </x:xf>
    <x:xf numFmtId="0" fontId="4" fillId="12" borderId="23" xfId="0" applyNumberFormat="1" applyFont="1" applyFill="1" applyBorder="1" applyAlignment="1">
      <x:alignment horizontal="left" vertical="center" wrapText="1"/>
    </x:xf>
    <x:xf numFmtId="0" fontId="5" fillId="12" borderId="23" xfId="0" applyNumberFormat="1" applyFont="1" applyFill="1" applyBorder="1" applyAlignment="1">
      <x:alignment horizontal="left" vertical="center" wrapText="1"/>
    </x:xf>
    <x:xf numFmtId="0" fontId="3" fillId="17" borderId="4" xfId="0" applyNumberFormat="1" applyFont="1" applyFill="1" applyBorder="1" applyAlignment="1">
      <x:alignment horizontal="left" wrapText="1"/>
    </x:xf>
    <x:xf numFmtId="0" fontId="3" fillId="17" borderId="4" xfId="0" applyNumberFormat="1" applyFont="1" applyFill="1" applyBorder="1" applyAlignment="1">
      <x:alignment horizontal="left" vertical="center" wrapText="1"/>
    </x:xf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left"/>
    </x:xf>
    <x:xf numFmtId="0" fontId="2" fillId="6" borderId="0" xfId="0" applyNumberFormat="1" applyFont="1" applyFill="1" applyBorder="1" applyAlignment="1">
      <x:alignment horizontal="left" vertical="center"/>
    </x:xf>
    <x:xf numFmtId="0" fontId="3" fillId="17" borderId="29" xfId="0" applyNumberFormat="1" applyFont="1" applyFill="1" applyBorder="1"/>
    <x:xf numFmtId="0" fontId="3" fillId="17" borderId="30" xfId="0" applyNumberFormat="1" applyFont="1" applyFill="1" applyBorder="1"/>
    <x:xf numFmtId="0" fontId="3" fillId="17" borderId="31" xfId="0" applyNumberFormat="1" applyFont="1" applyFill="1" applyBorder="1"/>
    <x:xf numFmtId="0" fontId="3" fillId="17" borderId="29" xfId="0" applyNumberFormat="1" applyFont="1" applyFill="1" applyBorder="1" applyAlignment="1">
      <x:alignment wrapText="1"/>
    </x:xf>
    <x:xf numFmtId="0" fontId="3" fillId="17" borderId="30" xfId="0" applyNumberFormat="1" applyFont="1" applyFill="1" applyBorder="1" applyAlignment="1">
      <x:alignment wrapText="1"/>
    </x:xf>
    <x:xf numFmtId="0" fontId="3" fillId="17" borderId="31" xfId="0" applyNumberFormat="1" applyFont="1" applyFill="1" applyBorder="1" applyAlignment="1">
      <x:alignment wrapText="1"/>
    </x:xf>
    <x:xf numFmtId="0" fontId="3" fillId="17" borderId="29" xfId="0" applyNumberFormat="1" applyFont="1" applyFill="1" applyBorder="1" applyAlignment="1">
      <x:alignment horizontal="left" wrapText="1"/>
    </x:xf>
    <x:xf numFmtId="0" fontId="3" fillId="17" borderId="30" xfId="0" applyNumberFormat="1" applyFont="1" applyFill="1" applyBorder="1" applyAlignment="1">
      <x:alignment horizontal="left" wrapText="1"/>
    </x:xf>
    <x:xf numFmtId="0" fontId="3" fillId="17" borderId="31" xfId="0" applyNumberFormat="1" applyFont="1" applyFill="1" applyBorder="1" applyAlignment="1">
      <x:alignment horizontal="left" wrapText="1"/>
    </x:xf>
    <x:xf numFmtId="0" fontId="3" fillId="17" borderId="29" xfId="0" applyNumberFormat="1" applyFont="1" applyFill="1" applyBorder="1" applyAlignment="1">
      <x:alignment horizontal="left" vertical="center" wrapText="1"/>
    </x:xf>
    <x:xf numFmtId="0" fontId="3" fillId="17" borderId="30" xfId="0" applyNumberFormat="1" applyFont="1" applyFill="1" applyBorder="1" applyAlignment="1">
      <x:alignment horizontal="left" vertical="center" wrapText="1"/>
    </x:xf>
    <x:xf numFmtId="0" fontId="3" fillId="17" borderId="3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12"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1F6B42"/>
      </x:font>
      <x:fill>
        <x:patternFill>
          <x:bgColor rgb="FFDDF2E4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8A5B00"/>
      </x:font>
      <x:fill>
        <x:patternFill>
          <x:bgColor rgb="FFFFF1CF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  <x:dxf>
      <x:font>
        <x:b/>
        <x:color rgb="FFA12638"/>
      </x:font>
      <x:fill>
        <x:patternFill>
          <x:bgColor rgb="FFFCE3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8ef27307394496" /><Relationship Type="http://schemas.openxmlformats.org/officeDocument/2006/relationships/theme" Target="/xl/theme/theme1.xml" Id="R23fc168b91044c9b" /><Relationship Type="http://schemas.openxmlformats.org/officeDocument/2006/relationships/sharedStrings" Target="/xl/sharedStrings.xml" Id="Rafda3f5f64df4ac7" /><Relationship Type="http://schemas.openxmlformats.org/officeDocument/2006/relationships/worksheet" Target="/xl/worksheets/sheet1.xml" Id="R3105c5984f7b4376" /><Relationship Type="http://schemas.openxmlformats.org/officeDocument/2006/relationships/worksheet" Target="/xl/worksheets/sheet2.xml" Id="R02ad2b799291499b" /><Relationship Type="http://schemas.openxmlformats.org/officeDocument/2006/relationships/worksheet" Target="/xl/worksheets/sheet3.xml" Id="R5c2bc12523c1441d" /><Relationship Type="http://schemas.openxmlformats.org/officeDocument/2006/relationships/worksheet" Target="/xl/worksheets/sheet4.xml" Id="R6de4960b76ad4b33" /><Relationship Type="http://schemas.openxmlformats.org/officeDocument/2006/relationships/worksheet" Target="/xl/worksheets/sheet5.xml" Id="R2bccfb2500ef41ab" /><Relationship Type="http://schemas.openxmlformats.org/officeDocument/2006/relationships/worksheet" Target="/xl/worksheets/sheet6.xml" Id="R825b3c0189cf4d8f" /><Relationship Type="http://schemas.openxmlformats.org/officeDocument/2006/relationships/worksheet" Target="/xl/worksheets/sheet7.xml" Id="R1ed5b78c59e74f0c" /><Relationship Type="http://schemas.openxmlformats.org/officeDocument/2006/relationships/worksheet" Target="/xl/worksheets/sheet8.xml" Id="R8c0b4f5d48eb4665" /><Relationship Type="http://schemas.openxmlformats.org/officeDocument/2006/relationships/worksheet" Target="/xl/worksheets/sheet9.xml" Id="R12415835c58244f3" /><Relationship Type="http://schemas.openxmlformats.org/officeDocument/2006/relationships/worksheet" Target="/xl/worksheets/sheet10.xml" Id="R0f81cb8ac2cb46c0" /><Relationship Type="http://schemas.openxmlformats.org/officeDocument/2006/relationships/worksheet" Target="/xl/worksheets/sheet11.xml" Id="R8008680e993f4862" /><Relationship Type="http://schemas.openxmlformats.org/officeDocument/2006/relationships/worksheet" Target="/xl/worksheets/sheet12.xml" Id="R380ea748cbb3475f" /><Relationship Type="http://schemas.openxmlformats.org/officeDocument/2006/relationships/worksheet" Target="/xl/worksheets/sheet13.xml" Id="R806e30f013d643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3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34" customHeight="1">
      <x:c r="A1" s="4" t="str">
        <x:v>NULL GRAIL｜零之圣杯完整自动车卡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" customHeight="1">
      <x:c r="A2" s="7" t="str">
        <x:v>v1.1｜从者六参数、职阶模板、硬容器修正、实时资源预览与完整预算校验。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247"/>
      <x:c r="B3" s="247"/>
      <x:c r="C3" s="247"/>
      <x:c r="D3" s="247"/>
      <x:c r="E3" s="247"/>
      <x:c r="F3" s="247"/>
      <x:c r="G3" s="247"/>
      <x:c r="H3" s="247"/>
      <x:c r="I3" s="247"/>
      <x:c r="J3" s="247"/>
      <x:c r="K3" s="247"/>
      <x:c r="L3" s="247"/>
      <x:c r="M3" s="247"/>
      <x:c r="N3" s="247"/>
    </x:row>
    <x:row r="4" ht="24" customHeight="1">
      <x:c r="A4" s="14" t="str">
        <x:v>构筑入口与状态</x:v>
      </x:c>
      <x:c r="B4" s="15"/>
      <x:c r="C4" s="15"/>
      <x:c r="D4" s="16"/>
      <x:c r="E4" s="247"/>
      <x:c r="F4" s="50" t="str">
        <x:v>预算速览</x:v>
      </x:c>
      <x:c r="G4" s="51"/>
      <x:c r="H4" s="51"/>
      <x:c r="I4" s="52"/>
      <x:c r="J4" s="247"/>
      <x:c r="K4" s="35" t="str">
        <x:v>输入与状态图例</x:v>
      </x:c>
      <x:c r="L4" s="36"/>
      <x:c r="M4" s="36"/>
      <x:c r="N4" s="37"/>
    </x:row>
    <x:row r="5">
      <x:c r="A5" s="58" t="str">
        <x:v>普通人</x:v>
      </x:c>
      <x:c r="B5" s="58" t="str">
        <x:v>前往「普通人构筑」</x:v>
      </x:c>
      <x:c r="C5" s="58" t="str">
        <x:v>状态</x:v>
      </x:c>
      <x:c r="D5" s="137" t="str">
        <x:f>'普通人构筑'!$L$13</x:f>
        <x:v>合法</x:v>
      </x:c>
      <x:c r="E5" s="247"/>
      <x:c r="F5" s="56" t="str">
        <x:v>身份</x:v>
      </x:c>
      <x:c r="G5" s="56" t="str">
        <x:v>属性</x:v>
      </x:c>
      <x:c r="H5" s="56" t="str">
        <x:v>通用技能</x:v>
      </x:c>
      <x:c r="I5" s="56" t="str">
        <x:v>核心资源</x:v>
      </x:c>
      <x:c r="J5" s="247"/>
      <x:c r="K5" s="158" t="str">
        <x:v>淡蓝</x:v>
      </x:c>
      <x:c r="L5" s="158" t="str">
        <x:v>玩家输入</x:v>
      </x:c>
      <x:c r="M5" s="156" t="str">
        <x:v>淡绿</x:v>
      </x:c>
      <x:c r="N5" s="156" t="str">
        <x:v>公式计算</x:v>
      </x:c>
    </x:row>
    <x:row r="6">
      <x:c r="A6" s="58" t="str">
        <x:v>魔术师</x:v>
      </x:c>
      <x:c r="B6" s="58" t="str">
        <x:v>前往「魔术师构筑」</x:v>
      </x:c>
      <x:c r="C6" s="58" t="str">
        <x:v>状态</x:v>
      </x:c>
      <x:c r="D6" s="137" t="str">
        <x:f>'魔术师构筑'!$L$13</x:f>
        <x:v>合法</x:v>
      </x:c>
      <x:c r="E6" s="247"/>
      <x:c r="F6" s="58" t="str">
        <x:v>普通人</x:v>
      </x:c>
      <x:c r="G6" s="58" t="str">
        <x:v>14｜最高B</x:v>
      </x:c>
      <x:c r="H6" s="58" t="str">
        <x:v>6｜专家≤1</x:v>
      </x:c>
      <x:c r="I6" s="58" t="str">
        <x:v>标志才能／现实优势</x:v>
      </x:c>
      <x:c r="J6" s="247"/>
      <x:c r="K6" s="159" t="str">
        <x:v>琥珀</x:v>
      </x:c>
      <x:c r="L6" s="159" t="str">
        <x:v>需主持人确认</x:v>
      </x:c>
      <x:c r="M6" s="160" t="str">
        <x:v>红色</x:v>
      </x:c>
      <x:c r="N6" s="160" t="str">
        <x:v>不合法／超限</x:v>
      </x:c>
    </x:row>
    <x:row r="7">
      <x:c r="A7" s="58" t="str">
        <x:v>从者</x:v>
      </x:c>
      <x:c r="B7" s="58" t="str">
        <x:v>前往「从者构筑」</x:v>
      </x:c>
      <x:c r="C7" s="58" t="str">
        <x:v>状态</x:v>
      </x:c>
      <x:c r="D7" s="137" t="str">
        <x:f>'从者构筑'!$O$18</x:f>
        <x:v>合法</x:v>
      </x:c>
      <x:c r="E7" s="247"/>
      <x:c r="F7" s="58" t="str">
        <x:v>魔术师</x:v>
      </x:c>
      <x:c r="G7" s="58" t="str">
        <x:v>15｜最高B｜魔力≥D</x:v>
      </x:c>
      <x:c r="H7" s="58" t="str">
        <x:v>6｜魔术受训</x:v>
      </x:c>
      <x:c r="I7" s="58" t="str">
        <x:v>4术式／1礼装／1限制</x:v>
      </x:c>
      <x:c r="J7" s="247"/>
      <x:c r="K7" s="58" t="str">
        <x:v>E—A</x:v>
      </x:c>
      <x:c r="L7" s="58" t="str">
        <x:v>可创建阶位</x:v>
      </x:c>
      <x:c r="M7" s="58" t="str">
        <x:v>A+</x:v>
      </x:c>
      <x:c r="N7" s="58" t="str">
        <x:v>条件标签，不重算派生</x:v>
      </x:c>
    </x:row>
    <x:row r="8">
      <x:c r="A8" s="58" t="str">
        <x:v>御主契约</x:v>
      </x:c>
      <x:c r="B8" s="58" t="str">
        <x:v>前往「御主契约」</x:v>
      </x:c>
      <x:c r="C8" s="58" t="str">
        <x:v>状态</x:v>
      </x:c>
      <x:c r="D8" s="137" t="str">
        <x:f>'御主契约'!$F$16</x:f>
        <x:v>合法</x:v>
      </x:c>
      <x:c r="E8" s="247"/>
      <x:c r="F8" s="58" t="str">
        <x:v>从者</x:v>
      </x:c>
      <x:c r="G8" s="58" t="str">
        <x:v>30｜最高A</x:v>
      </x:c>
      <x:c r="H8" s="58" t="str">
        <x:v>8｜专家≤2</x:v>
      </x:c>
      <x:c r="I8" s="58" t="str">
        <x:v>六参数／3技能／1宝具</x:v>
      </x:c>
      <x:c r="J8" s="247"/>
      <x:c r="K8" s="58" t="str">
        <x:v>叙事相性</x:v>
      </x:c>
      <x:c r="L8" s="58" t="str">
        <x:v>默认无职阶三角</x:v>
      </x:c>
      <x:c r="M8" s="58" t="str">
        <x:v>战术相性</x:v>
      </x:c>
      <x:c r="N8" s="58" t="str">
        <x:v>+2，不加伤害</x:v>
      </x:c>
    </x:row>
    <x:row r="9">
      <x:c r="A9" s="247"/>
      <x:c r="B9" s="247"/>
      <x:c r="C9" s="247"/>
      <x:c r="D9" s="247"/>
      <x:c r="E9" s="247"/>
      <x:c r="F9" s="247"/>
      <x:c r="G9" s="247"/>
      <x:c r="H9" s="247"/>
      <x:c r="I9" s="247"/>
      <x:c r="J9" s="247"/>
      <x:c r="K9" s="247"/>
      <x:c r="L9" s="247"/>
      <x:c r="M9" s="247"/>
      <x:c r="N9" s="247"/>
    </x:row>
    <x:row r="10">
      <x:c r="A10" s="247"/>
      <x:c r="B10" s="247"/>
      <x:c r="C10" s="247"/>
      <x:c r="D10" s="247"/>
      <x:c r="E10" s="247"/>
      <x:c r="F10" s="247"/>
      <x:c r="G10" s="247"/>
      <x:c r="H10" s="247"/>
      <x:c r="I10" s="247"/>
      <x:c r="J10" s="247"/>
      <x:c r="K10" s="247"/>
      <x:c r="L10" s="247"/>
      <x:c r="M10" s="247"/>
      <x:c r="N10" s="247"/>
    </x:row>
    <x:row r="11" ht="24" customHeight="1">
      <x:c r="A11" s="14" t="str">
        <x:v>九步车卡流程</x:v>
      </x:c>
      <x:c r="B11" s="15"/>
      <x:c r="C11" s="15"/>
      <x:c r="D11" s="15"/>
      <x:c r="E11" s="15"/>
      <x:c r="F11" s="15"/>
      <x:c r="G11" s="15"/>
      <x:c r="H11" s="15"/>
      <x:c r="I11" s="16"/>
      <x:c r="J11" s="247"/>
      <x:c r="K11" s="35" t="str">
        <x:v>快速检定计算器</x:v>
      </x:c>
      <x:c r="L11" s="36"/>
      <x:c r="M11" s="36"/>
      <x:c r="N11" s="37"/>
    </x:row>
    <x:row r="12">
      <x:c r="A12" s="56" t="n">
        <x:v>1</x:v>
      </x:c>
      <x:c r="B12" s="58" t="str">
        <x:v>选择身份与概念</x:v>
      </x:c>
      <x:c r="C12" s="58" t="str">
        <x:v>普通人、魔术师或从者；御主是契约模块。</x:v>
      </x:c>
      <x:c r="D12" s="58"/>
      <x:c r="E12" s="58"/>
      <x:c r="F12" s="58"/>
      <x:c r="G12" s="58"/>
      <x:c r="H12" s="58"/>
      <x:c r="I12" s="58"/>
      <x:c r="J12" s="247"/>
      <x:c r="K12" s="58" t="str">
        <x:v>掷骰结果</x:v>
      </x:c>
      <x:c r="L12" s="127" t="n">
        <x:v>10</x:v>
      </x:c>
      <x:c r="M12" s="58" t="str">
        <x:v>目标DC</x:v>
      </x:c>
      <x:c r="N12" s="127" t="n">
        <x:v>13</x:v>
      </x:c>
    </x:row>
    <x:row r="13">
      <x:c r="A13" s="56" t="n">
        <x:v>2</x:v>
      </x:c>
      <x:c r="B13" s="58" t="str">
        <x:v>分配七项属性</x:v>
      </x:c>
      <x:c r="C13" s="58" t="str">
        <x:v>用阶位下拉，点购成本自动累计。</x:v>
      </x:c>
      <x:c r="D13" s="58"/>
      <x:c r="E13" s="58"/>
      <x:c r="F13" s="58"/>
      <x:c r="G13" s="58"/>
      <x:c r="H13" s="58"/>
      <x:c r="I13" s="58"/>
      <x:c r="J13" s="247"/>
      <x:c r="K13" s="58" t="str">
        <x:v>属性值</x:v>
      </x:c>
      <x:c r="L13" s="127" t="n">
        <x:v>2</x:v>
      </x:c>
      <x:c r="M13" s="58" t="str">
        <x:v>其他修正</x:v>
      </x:c>
      <x:c r="N13" s="127" t="n">
        <x:v>0</x:v>
      </x:c>
    </x:row>
    <x:row r="14">
      <x:c r="A14" s="56" t="n">
        <x:v>3</x:v>
      </x:c>
      <x:c r="B14" s="58" t="str">
        <x:v>选择通用技能</x:v>
      </x:c>
      <x:c r="C14" s="58" t="str">
        <x:v>每次检定只加一个属性和一个技能。</x:v>
      </x:c>
      <x:c r="D14" s="58"/>
      <x:c r="E14" s="58"/>
      <x:c r="F14" s="58"/>
      <x:c r="G14" s="58"/>
      <x:c r="H14" s="58"/>
      <x:c r="I14" s="58"/>
      <x:c r="J14" s="247"/>
      <x:c r="K14" s="58" t="str">
        <x:v>技能加值</x:v>
      </x:c>
      <x:c r="L14" s="127" t="n">
        <x:v>2</x:v>
      </x:c>
      <x:c r="M14" s="58" t="str">
        <x:v>优势／劣势</x:v>
      </x:c>
      <x:c r="N14" s="127" t="str">
        <x:v>无</x:v>
      </x:c>
    </x:row>
    <x:row r="15">
      <x:c r="A15" s="56" t="n">
        <x:v>4</x:v>
      </x:c>
      <x:c r="B15" s="58" t="str">
        <x:v>检查派生值</x:v>
      </x:c>
      <x:c r="C15" s="58" t="str">
        <x:v>回避、坚韧、精神、察觉、生命、MP与决意自动计算。</x:v>
      </x:c>
      <x:c r="D15" s="58"/>
      <x:c r="E15" s="58"/>
      <x:c r="F15" s="58"/>
      <x:c r="G15" s="58"/>
      <x:c r="H15" s="58"/>
      <x:c r="I15" s="58"/>
      <x:c r="J15" s="247"/>
      <x:c r="K15" s="58" t="str">
        <x:v>总值</x:v>
      </x:c>
      <x:c r="L15" s="137" t="n">
        <x:f>L12+L13+L14+N13</x:f>
        <x:v>14</x:v>
      </x:c>
      <x:c r="M15" s="58" t="str">
        <x:v>差值</x:v>
      </x:c>
      <x:c r="N15" s="137" t="n">
        <x:f>L15-N12</x:f>
        <x:v>1</x:v>
      </x:c>
    </x:row>
    <x:row r="16">
      <x:c r="A16" s="56" t="n">
        <x:v>5</x:v>
      </x:c>
      <x:c r="B16" s="58" t="str">
        <x:v>取得身份资源</x:v>
      </x:c>
      <x:c r="C16" s="58" t="str">
        <x:v>普通人才能；魔术师术式与礼装；从者职阶、技能与宝具。</x:v>
      </x:c>
      <x:c r="D16" s="58"/>
      <x:c r="E16" s="58"/>
      <x:c r="F16" s="58"/>
      <x:c r="G16" s="58"/>
      <x:c r="H16" s="58"/>
      <x:c r="I16" s="58"/>
      <x:c r="J16" s="247"/>
      <x:c r="K16" s="58" t="str">
        <x:v>结果档位</x:v>
      </x:c>
      <x:c r="L16" s="137" t="str">
        <x:f>IF(N15&gt;=5,"大成功",IF(N15&gt;=0,"成功",IF(N15&gt;=-4,"带代价成功","失败")))</x:f>
        <x:v>成功</x:v>
      </x:c>
      <x:c r="M16" s="137"/>
      <x:c r="N16" s="137"/>
    </x:row>
    <x:row r="17">
      <x:c r="A17" s="56" t="n">
        <x:v>6</x:v>
      </x:c>
      <x:c r="B17" s="58" t="str">
        <x:v>填写完整能力</x:v>
      </x:c>
      <x:c r="C17" s="58" t="str">
        <x:v>触发、动作、成本、检定、效果、持续、失败和反制。</x:v>
      </x:c>
      <x:c r="D17" s="58"/>
      <x:c r="E17" s="58"/>
      <x:c r="F17" s="58"/>
      <x:c r="G17" s="58"/>
      <x:c r="H17" s="58"/>
      <x:c r="I17" s="58"/>
      <x:c r="J17" s="247"/>
      <x:c r="K17" s="58" t="str">
        <x:v>提醒</x:v>
      </x:c>
      <x:c r="L17" s="58" t="str">
        <x:v>优势掷2d20取高；劣势取低。这里输入最终d20。</x:v>
      </x:c>
      <x:c r="M17" s="58"/>
      <x:c r="N17" s="58"/>
    </x:row>
    <x:row r="18">
      <x:c r="A18" s="56" t="n">
        <x:v>7</x:v>
      </x:c>
      <x:c r="B18" s="58" t="str">
        <x:v>应用模板与限制</x:v>
      </x:c>
      <x:c r="C18" s="58" t="str">
        <x:v>职阶推荐不加预算；A+只在条件满足时生效。</x:v>
      </x:c>
      <x:c r="D18" s="58"/>
      <x:c r="E18" s="58"/>
      <x:c r="F18" s="58"/>
      <x:c r="G18" s="58"/>
      <x:c r="H18" s="58"/>
      <x:c r="I18" s="58"/>
      <x:c r="J18" s="247"/>
      <x:c r="K18" s="58" t="str">
        <x:v>公式</x:v>
      </x:c>
      <x:c r="L18" s="58" t="str">
        <x:v>1d20＋属性＋一项技能＋其他修正</x:v>
      </x:c>
      <x:c r="M18" s="58"/>
      <x:c r="N18" s="58"/>
    </x:row>
    <x:row r="19">
      <x:c r="A19" s="56" t="n">
        <x:v>8</x:v>
      </x:c>
      <x:c r="B19" s="58" t="str">
        <x:v>完成契约模块</x:v>
      </x:c>
      <x:c r="C19" s="58" t="str">
        <x:v>御主、供魔、通信、解除条件与三画令咒。</x:v>
      </x:c>
      <x:c r="D19" s="58"/>
      <x:c r="E19" s="58"/>
      <x:c r="F19" s="58"/>
      <x:c r="G19" s="58"/>
      <x:c r="H19" s="58"/>
      <x:c r="I19" s="58"/>
      <x:c r="J19" s="247"/>
      <x:c r="K19" s="247"/>
      <x:c r="L19" s="247"/>
      <x:c r="M19" s="247"/>
      <x:c r="N19" s="247"/>
    </x:row>
    <x:row r="20">
      <x:c r="A20" s="56" t="n">
        <x:v>9</x:v>
      </x:c>
      <x:c r="B20" s="58" t="str">
        <x:v>通过合法性终检</x:v>
      </x:c>
      <x:c r="C20" s="58" t="str">
        <x:v>所有状态灯为绿色后，再使用对应打印卡。</x:v>
      </x:c>
      <x:c r="D20" s="58"/>
      <x:c r="E20" s="58"/>
      <x:c r="F20" s="58"/>
      <x:c r="G20" s="58"/>
      <x:c r="H20" s="58"/>
      <x:c r="I20" s="58"/>
      <x:c r="J20" s="247"/>
      <x:c r="K20" s="247"/>
      <x:c r="L20" s="247"/>
      <x:c r="M20" s="247"/>
      <x:c r="N20" s="247"/>
    </x:row>
  </x:sheetData>
  <x:mergeCells>
    <x:mergeCell ref="A1:N1"/>
    <x:mergeCell ref="A2:N2"/>
    <x:mergeCell ref="A4:D4"/>
    <x:mergeCell ref="F4:I4"/>
    <x:mergeCell ref="K4:N4"/>
    <x:mergeCell ref="A11:I11"/>
    <x:mergeCell ref="C12:I12"/>
    <x:mergeCell ref="C13:I13"/>
    <x:mergeCell ref="C14:I14"/>
    <x:mergeCell ref="C15:I15"/>
    <x:mergeCell ref="C16:I16"/>
    <x:mergeCell ref="C17:I17"/>
    <x:mergeCell ref="C18:I18"/>
    <x:mergeCell ref="C19:I19"/>
    <x:mergeCell ref="C20:I20"/>
    <x:mergeCell ref="K11:N11"/>
    <x:mergeCell ref="L17:N17"/>
    <x:mergeCell ref="L18:N18"/>
    <x:mergeCell ref="L16:N16"/>
  </x:mergeCells>
  <x:conditionalFormatting sqref="D5:D8">
    <x:cfRule type="containsText" dxfId="0" priority="1" operator="containsText" text="合法"/>
    <x:cfRule type="containsText" dxfId="1" priority="2" operator="containsText" text="通过"/>
    <x:cfRule type="containsText" dxfId="2" priority="3" operator="containsText" text="需要"/>
    <x:cfRule type="containsText" dxfId="3" priority="4" operator="containsText" text="确认"/>
    <x:cfRule type="containsText" dxfId="4" priority="5" operator="containsText" text="错误"/>
    <x:cfRule type="containsText" dxfId="5" priority="6" operator="containsText" text="不合法"/>
    <x:cfRule type="containsText" dxfId="6" priority="7" operator="containsText" text="超限"/>
  </x:conditionalFormatting>
  <x:conditionalFormatting sqref="L16:N16">
    <x:cfRule type="containsText" dxfId="7" priority="8" operator="containsText" text="合法"/>
    <x:cfRule type="containsText" dxfId="8" priority="9" operator="containsText" text="通过"/>
    <x:cfRule type="containsText" dxfId="9" priority="10" operator="containsText" text="需要"/>
    <x:cfRule type="containsText" dxfId="10" priority="11" operator="containsText" text="确认"/>
    <x:cfRule type="containsText" dxfId="11" priority="12" operator="containsText" text="错误"/>
    <x:cfRule type="containsText" dxfId="12" priority="13" operator="containsText" text="不合法"/>
    <x:cfRule type="containsText" dxfId="13" priority="14" operator="containsText" text="超限"/>
  </x:conditionalFormatting>
  <x:dataValidations count="1">
    <x:dataValidation type="list" sqref="N14">
      <x:formula1>"无,优势,劣势"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28" hidden="0" customWidth="1"/>
    <x:col min="7" max="7" width="10" hidden="0" customWidth="1"/>
    <x:col min="8" max="8" width="10" hidden="0" customWidth="1"/>
    <x:col min="9" max="9" width="10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165" t="str">
        <x:v>普通人｜完整构筑</x:v>
      </x:c>
      <x:c r="B1" s="165"/>
      <x:c r="C1" s="165"/>
      <x:c r="D1" s="165"/>
      <x:c r="E1" s="165"/>
      <x:c r="F1" s="165"/>
      <x:c r="G1" s="165"/>
      <x:c r="H1" s="165"/>
      <x:c r="I1" s="165"/>
      <x:c r="J1" s="165"/>
      <x:c r="K1" s="165"/>
      <x:c r="L1" s="165"/>
      <x:c r="M1" s="165"/>
      <x:c r="N1" s="165"/>
    </x:row>
    <x:row r="2" ht="22" customHeight="1">
      <x:c r="A2" s="168" t="str">
        <x:v>现实身份不是弱化版魔术师：专业、关系、准备与人类韧性会改变战局。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  <x:c r="N2" s="168"/>
    </x:row>
    <x:row r="3" ht="24" customHeight="1">
      <x:c r="A3" s="35" t="str">
        <x:v>身份与现实资源</x:v>
      </x:c>
      <x:c r="B3" s="36"/>
      <x:c r="C3" s="36"/>
      <x:c r="D3" s="37"/>
      <x:c r="E3" s="247"/>
      <x:c r="F3" s="247"/>
      <x:c r="G3" s="247"/>
      <x:c r="H3" s="247"/>
      <x:c r="I3" s="247"/>
      <x:c r="J3" s="247"/>
      <x:c r="K3" s="109" t="str">
        <x:v>预算与派生</x:v>
      </x:c>
      <x:c r="L3" s="180"/>
      <x:c r="M3" s="180"/>
      <x:c r="N3" s="110"/>
    </x:row>
    <x:row r="4">
      <x:c r="A4" s="58" t="str">
        <x:v>玩家</x:v>
      </x:c>
      <x:c r="B4" s="127" t="str">
        <x:v>玩家</x:v>
      </x:c>
      <x:c r="C4" s="127"/>
      <x:c r="D4" s="127"/>
      <x:c r="E4" s="247"/>
      <x:c r="F4" s="41" t="str">
        <x:v>属性</x:v>
      </x:c>
      <x:c r="G4" s="41" t="str">
        <x:v>阶位</x:v>
      </x:c>
      <x:c r="H4" s="41" t="str">
        <x:v>数值</x:v>
      </x:c>
      <x:c r="I4" s="41" t="str">
        <x:v>点购</x:v>
      </x:c>
      <x:c r="J4" s="41" t="str">
        <x:v>说明</x:v>
      </x:c>
      <x:c r="K4" s="177" t="str">
        <x:v>项目</x:v>
      </x:c>
      <x:c r="L4" s="177" t="str">
        <x:v>结果</x:v>
      </x:c>
      <x:c r="M4" s="177" t="str">
        <x:v>限制</x:v>
      </x:c>
      <x:c r="N4" s="177" t="str">
        <x:v>检查</x:v>
      </x:c>
    </x:row>
    <x:row r="5">
      <x:c r="A5" s="58" t="str">
        <x:v>角色名称</x:v>
      </x:c>
      <x:c r="B5" s="127" t="str">
        <x:v>未命名角色</x:v>
      </x:c>
      <x:c r="C5" s="127"/>
      <x:c r="D5" s="127"/>
      <x:c r="E5" s="247"/>
      <x:c r="F5" s="26" t="str">
        <x:v>体魄</x:v>
      </x:c>
      <x:c r="G5" s="127" t="str">
        <x:v>D</x:v>
      </x:c>
      <x:c r="H5" s="137" t="n">
        <x:f>IFERROR(VLOOKUP(G5,'规则数据'!$A$5:$D$9,2,FALSE),0)</x:f>
        <x:v>1</x:v>
      </x:c>
      <x:c r="I5" s="137" t="n">
        <x:f>IFERROR(VLOOKUP(G5,'规则数据'!$A$5:$D$9,3,FALSE),99)</x:f>
        <x:v>1</x:v>
      </x:c>
      <x:c r="J5" s="26" t="str">
        <x:v>创建上限按身份</x:v>
      </x:c>
      <x:c r="K5" s="26" t="str">
        <x:v>属性点</x:v>
      </x:c>
      <x:c r="L5" s="137" t="n">
        <x:f>I12</x:f>
        <x:v>14</x:v>
      </x:c>
      <x:c r="M5" s="26" t="str">
        <x:v>≤14</x:v>
      </x:c>
      <x:c r="N5" s="137" t="str">
        <x:f>IF(AND(I12&lt;=14,MAX(H5:H11)&lt;=3),"通过","超限")</x:f>
        <x:v>通过</x:v>
      </x:c>
    </x:row>
    <x:row r="6">
      <x:c r="A6" s="58" t="str">
        <x:v>概念／动机</x:v>
      </x:c>
      <x:c r="B6" s="127" t="str">
        <x:v>卷入圣杯战争的急诊医生</x:v>
      </x:c>
      <x:c r="C6" s="127"/>
      <x:c r="D6" s="127"/>
      <x:c r="E6" s="247"/>
      <x:c r="F6" s="26" t="str">
        <x:v>耐久</x:v>
      </x:c>
      <x:c r="G6" s="127" t="str">
        <x:v>C</x:v>
      </x:c>
      <x:c r="H6" s="137" t="n">
        <x:f>IFERROR(VLOOKUP(G6,'规则数据'!$A$5:$D$9,2,FALSE),0)</x:f>
        <x:v>2</x:v>
      </x:c>
      <x:c r="I6" s="137" t="n">
        <x:f>IFERROR(VLOOKUP(G6,'规则数据'!$A$5:$D$9,3,FALSE),99)</x:f>
        <x:v>3</x:v>
      </x:c>
      <x:c r="J6" s="26" t="str">
        <x:v>创建上限按身份</x:v>
      </x:c>
      <x:c r="K6" s="26" t="str">
        <x:v>技能点</x:v>
      </x:c>
      <x:c r="L6" s="137" t="n">
        <x:f>SUM(IF(B16="专家",2,IF(B16="受训",1,0)),IF(B17="专家",2,IF(B17="受训",1,0)),IF(B18="专家",2,IF(B18="受训",1,0)),IF(B19="专家",2,IF(B19="受训",1,0)),IF(B20="专家",2,IF(B20="受训",1,0)),IF(B21="专家",2,IF(B21="受训",1,0)),IF(B22="专家",2,IF(B22="受训",1,0)),IF(B23="专家",2,IF(B23="受训",1,0)),IF(B24="专家",2,IF(B24="受训",1,0)),IF(B25="专家",2,IF(B25="受训",1,0)),IF(B26="专家",2,IF(B26="受训",1,0)),IF(B27="专家",2,IF(B27="受训",1,0)))</x:f>
        <x:v>6</x:v>
      </x:c>
      <x:c r="M6" s="26" t="str">
        <x:v>≤6</x:v>
      </x:c>
      <x:c r="N6" s="137" t="str">
        <x:f>IF(SUM(IF(B16="专家",2,IF(B16="受训",1,0)),IF(B17="专家",2,IF(B17="受训",1,0)),IF(B18="专家",2,IF(B18="受训",1,0)),IF(B19="专家",2,IF(B19="受训",1,0)),IF(B20="专家",2,IF(B20="受训",1,0)),IF(B21="专家",2,IF(B21="受训",1,0)),IF(B22="专家",2,IF(B22="受训",1,0)),IF(B23="专家",2,IF(B23="受训",1,0)),IF(B24="专家",2,IF(B24="受训",1,0)),IF(B25="专家",2,IF(B25="受训",1,0)),IF(B26="专家",2,IF(B26="受训",1,0)),IF(B27="专家",2,IF(B27="受训",1,0)))&lt;=6,"通过","超限")</x:f>
        <x:v>通过</x:v>
      </x:c>
    </x:row>
    <x:row r="7">
      <x:c r="A7" s="58" t="str">
        <x:v>快速背景</x:v>
      </x:c>
      <x:c r="B7" s="127" t="str">
        <x:v>医疗与照护</x:v>
      </x:c>
      <x:c r="C7" s="127"/>
      <x:c r="D7" s="127"/>
      <x:c r="E7" s="247"/>
      <x:c r="F7" s="26" t="str">
        <x:v>灵巧</x:v>
      </x:c>
      <x:c r="G7" s="127" t="str">
        <x:v>D</x:v>
      </x:c>
      <x:c r="H7" s="137" t="n">
        <x:f>IFERROR(VLOOKUP(G7,'规则数据'!$A$5:$D$9,2,FALSE),0)</x:f>
        <x:v>1</x:v>
      </x:c>
      <x:c r="I7" s="137" t="n">
        <x:f>IFERROR(VLOOKUP(G7,'规则数据'!$A$5:$D$9,3,FALSE),99)</x:f>
        <x:v>1</x:v>
      </x:c>
      <x:c r="J7" s="26" t="str">
        <x:v>创建上限按身份</x:v>
      </x:c>
      <x:c r="K7" s="26" t="str">
        <x:v>专家数</x:v>
      </x:c>
      <x:c r="L7" s="137" t="n">
        <x:f>SUM(IF(B16="专家",1,0),IF(B17="专家",1,0),IF(B18="专家",1,0),IF(B19="专家",1,0),IF(B20="专家",1,0),IF(B21="专家",1,0),IF(B22="专家",1,0),IF(B23="专家",1,0),IF(B24="专家",1,0),IF(B25="专家",1,0),IF(B26="专家",1,0),IF(B27="专家",1,0))</x:f>
        <x:v>1</x:v>
      </x:c>
      <x:c r="M7" s="26" t="str">
        <x:v>≤1</x:v>
      </x:c>
      <x:c r="N7" s="137" t="str">
        <x:f>IF(SUM(IF(B16="专家",1,0),IF(B17="专家",1,0),IF(B18="专家",1,0),IF(B19="专家",1,0),IF(B20="专家",1,0),IF(B21="专家",1,0),IF(B22="专家",1,0),IF(B23="专家",1,0),IF(B24="专家",1,0),IF(B25="专家",1,0),IF(B26="专家",1,0),IF(B27="专家",1,0))&lt;=1,"通过","超限")</x:f>
        <x:v>通过</x:v>
      </x:c>
    </x:row>
    <x:row r="8">
      <x:c r="A8" s="58" t="str">
        <x:v>现实优势</x:v>
      </x:c>
      <x:c r="B8" s="127" t="str">
        <x:v>医疗</x:v>
      </x:c>
      <x:c r="C8" s="127"/>
      <x:c r="D8" s="127"/>
      <x:c r="E8" s="247"/>
      <x:c r="F8" s="26" t="str">
        <x:v>感知</x:v>
      </x:c>
      <x:c r="G8" s="127" t="str">
        <x:v>C</x:v>
      </x:c>
      <x:c r="H8" s="137" t="n">
        <x:f>IFERROR(VLOOKUP(G8,'规则数据'!$A$5:$D$9,2,FALSE),0)</x:f>
        <x:v>2</x:v>
      </x:c>
      <x:c r="I8" s="137" t="n">
        <x:f>IFERROR(VLOOKUP(G8,'规则数据'!$A$5:$D$9,3,FALSE),99)</x:f>
        <x:v>3</x:v>
      </x:c>
      <x:c r="J8" s="26" t="str">
        <x:v>创建上限按身份</x:v>
      </x:c>
      <x:c r="K8" s="26" t="str">
        <x:v>生命</x:v>
      </x:c>
      <x:c r="L8" s="137" t="n">
        <x:f>8+H6*2</x:f>
        <x:v>12</x:v>
      </x:c>
      <x:c r="M8" s="26" t="str">
        <x:v>8＋耐久×2</x:v>
      </x:c>
      <x:c r="N8" s="137"/>
    </x:row>
    <x:row r="9">
      <x:c r="A9" s="58" t="str">
        <x:v>联系人1／2</x:v>
      </x:c>
      <x:c r="B9" s="127" t="str">
        <x:v>护士长｜记者朋友</x:v>
      </x:c>
      <x:c r="C9" s="127"/>
      <x:c r="D9" s="127"/>
      <x:c r="E9" s="247"/>
      <x:c r="F9" s="26" t="str">
        <x:v>学识</x:v>
      </x:c>
      <x:c r="G9" s="127" t="str">
        <x:v>B</x:v>
      </x:c>
      <x:c r="H9" s="137" t="n">
        <x:f>IFERROR(VLOOKUP(G9,'规则数据'!$A$5:$D$9,2,FALSE),0)</x:f>
        <x:v>3</x:v>
      </x:c>
      <x:c r="I9" s="137" t="n">
        <x:f>IFERROR(VLOOKUP(G9,'规则数据'!$A$5:$D$9,3,FALSE),99)</x:f>
        <x:v>6</x:v>
      </x:c>
      <x:c r="J9" s="26" t="str">
        <x:v>创建上限按身份</x:v>
      </x:c>
      <x:c r="K9" s="26" t="str">
        <x:v>回避</x:v>
      </x:c>
      <x:c r="L9" s="137" t="n">
        <x:f>10+H7</x:f>
        <x:v>11</x:v>
      </x:c>
      <x:c r="M9" s="26" t="str">
        <x:v>10＋灵巧</x:v>
      </x:c>
      <x:c r="N9" s="137"/>
    </x:row>
    <x:row r="10">
      <x:c r="A10" s="58" t="str">
        <x:v>常用装备1／2</x:v>
      </x:c>
      <x:c r="B10" s="127" t="str">
        <x:v>急救包｜手机</x:v>
      </x:c>
      <x:c r="C10" s="127"/>
      <x:c r="D10" s="127"/>
      <x:c r="E10" s="247"/>
      <x:c r="F10" s="26" t="str">
        <x:v>意志</x:v>
      </x:c>
      <x:c r="G10" s="127" t="str">
        <x:v>E</x:v>
      </x:c>
      <x:c r="H10" s="137" t="n">
        <x:f>IFERROR(VLOOKUP(G10,'规则数据'!$A$5:$D$9,2,FALSE),0)</x:f>
        <x:v>0</x:v>
      </x:c>
      <x:c r="I10" s="137" t="n">
        <x:f>IFERROR(VLOOKUP(G10,'规则数据'!$A$5:$D$9,3,FALSE),99)</x:f>
        <x:v>0</x:v>
      </x:c>
      <x:c r="J10" s="26" t="str">
        <x:v>创建上限按身份</x:v>
      </x:c>
      <x:c r="K10" s="26" t="str">
        <x:v>坚韧</x:v>
      </x:c>
      <x:c r="L10" s="137" t="n">
        <x:f>10+H6</x:f>
        <x:v>12</x:v>
      </x:c>
      <x:c r="M10" s="26" t="str">
        <x:v>10＋耐久</x:v>
      </x:c>
      <x:c r="N10" s="137"/>
    </x:row>
    <x:row r="11">
      <x:c r="A11" s="58" t="str">
        <x:v>安全地点</x:v>
      </x:c>
      <x:c r="B11" s="127" t="str">
        <x:v>医院后勤通道</x:v>
      </x:c>
      <x:c r="C11" s="127"/>
      <x:c r="D11" s="127"/>
      <x:c r="E11" s="247"/>
      <x:c r="F11" s="26" t="str">
        <x:v>魔力</x:v>
      </x:c>
      <x:c r="G11" s="127" t="str">
        <x:v>E</x:v>
      </x:c>
      <x:c r="H11" s="137" t="n">
        <x:f>IFERROR(VLOOKUP(G11,'规则数据'!$A$5:$D$9,2,FALSE),0)</x:f>
        <x:v>0</x:v>
      </x:c>
      <x:c r="I11" s="137" t="n">
        <x:f>IFERROR(VLOOKUP(G11,'规则数据'!$A$5:$D$9,3,FALSE),99)</x:f>
        <x:v>0</x:v>
      </x:c>
      <x:c r="J11" s="26" t="str">
        <x:v>通常为E</x:v>
      </x:c>
      <x:c r="K11" s="26" t="str">
        <x:v>精神</x:v>
      </x:c>
      <x:c r="L11" s="137" t="n">
        <x:f>10+H10</x:f>
        <x:v>10</x:v>
      </x:c>
      <x:c r="M11" s="26" t="str">
        <x:v>10＋意志</x:v>
      </x:c>
      <x:c r="N11" s="137"/>
    </x:row>
    <x:row r="12">
      <x:c r="A12" s="58" t="str">
        <x:v>A+触发条件</x:v>
      </x:c>
      <x:c r="B12" s="127" t="str">
        <x:v>留空；A+不作为永久阶位购买</x:v>
      </x:c>
      <x:c r="C12" s="127"/>
      <x:c r="D12" s="127"/>
      <x:c r="E12" s="247"/>
      <x:c r="F12" s="177" t="str">
        <x:v>属性点合计</x:v>
      </x:c>
      <x:c r="G12" s="177"/>
      <x:c r="H12" s="177"/>
      <x:c r="I12" s="137" t="n">
        <x:f>SUM(I5:I11)</x:f>
        <x:v>14</x:v>
      </x:c>
      <x:c r="J12" s="150" t="str">
        <x:v>预算14</x:v>
      </x:c>
      <x:c r="K12" s="26" t="str">
        <x:v>察觉</x:v>
      </x:c>
      <x:c r="L12" s="137" t="n">
        <x:f>10+H8</x:f>
        <x:v>12</x:v>
      </x:c>
      <x:c r="M12" s="26" t="str">
        <x:v>10＋感知</x:v>
      </x:c>
      <x:c r="N12" s="137"/>
    </x:row>
    <x:row r="13">
      <x:c r="A13" s="247"/>
      <x:c r="B13" s="247"/>
      <x:c r="C13" s="247"/>
      <x:c r="D13" s="247"/>
      <x:c r="E13" s="247"/>
      <x:c r="F13" s="247"/>
      <x:c r="G13" s="247"/>
      <x:c r="H13" s="247"/>
      <x:c r="I13" s="247"/>
      <x:c r="J13" s="247"/>
      <x:c r="K13" s="26" t="str">
        <x:v>总状态</x:v>
      </x:c>
      <x:c r="L13" s="137" t="str">
        <x:f>IF(AND(N5="通过",N6="通过",N7="通过",COUNTA(B4,B5,B6,B7,B8,B9,B10,B11)&gt;=8),"合法","需要处理")</x:f>
        <x:v>合法</x:v>
      </x:c>
      <x:c r="M13" s="26" t="str">
        <x:v>全部通过</x:v>
      </x:c>
      <x:c r="N13" s="137"/>
    </x:row>
    <x:row r="14">
      <x:c r="A14" s="247"/>
      <x:c r="B14" s="247"/>
      <x:c r="C14" s="247"/>
      <x:c r="D14" s="247"/>
      <x:c r="E14" s="247"/>
      <x:c r="F14" s="247"/>
      <x:c r="G14" s="247"/>
      <x:c r="H14" s="247"/>
      <x:c r="I14" s="247"/>
      <x:c r="J14" s="247"/>
      <x:c r="K14" s="247"/>
      <x:c r="L14" s="247"/>
      <x:c r="M14" s="247"/>
      <x:c r="N14" s="247"/>
    </x:row>
    <x:row r="15" ht="24" customHeight="1">
      <x:c r="A15" s="41" t="str">
        <x:v>通用技能</x:v>
      </x:c>
      <x:c r="B15" s="41" t="str">
        <x:v>训练</x:v>
      </x:c>
      <x:c r="C15" s="41" t="str">
        <x:v>加值</x:v>
      </x:c>
      <x:c r="D15" s="41" t="str">
        <x:v>成本</x:v>
      </x:c>
      <x:c r="E15" s="41" t="str">
        <x:v>常用属性</x:v>
      </x:c>
      <x:c r="F15" s="41" t="str">
        <x:v>应用预览</x:v>
      </x:c>
      <x:c r="G15" s="247"/>
      <x:c r="H15" s="67" t="str">
        <x:v>背景与标志才能实时预览</x:v>
      </x:c>
      <x:c r="I15" s="68"/>
      <x:c r="J15" s="68"/>
      <x:c r="K15" s="68"/>
      <x:c r="L15" s="68"/>
      <x:c r="M15" s="68"/>
      <x:c r="N15" s="69"/>
    </x:row>
    <x:row r="16" ht="25" customHeight="1">
      <x:c r="A16" s="58" t="str">
        <x:v>运动</x:v>
      </x:c>
      <x:c r="B16" s="127" t="str">
        <x:v>受训</x:v>
      </x:c>
      <x:c r="C16" s="137" t="n">
        <x:f>IF(B16="专家",4,IF(B16="受训",2,0))</x:f>
        <x:v>2</x:v>
      </x:c>
      <x:c r="D16" s="137" t="n">
        <x:f>IF(B16="专家",2,IF(B16="受训",1,0))</x:f>
        <x:v>1</x:v>
      </x:c>
      <x:c r="E16" s="58" t="str">
        <x:v>体魄／灵巧／耐久</x:v>
      </x:c>
      <x:c r="F16" s="58" t="str">
        <x:v>奔跑、攀爬、游泳、挣脱</x:v>
      </x:c>
      <x:c r="G16" s="247"/>
      <x:c r="H16" s="73" t="str">
        <x:v>推荐技能</x:v>
      </x:c>
      <x:c r="I16" s="73"/>
      <x:c r="J16" s="139" t="str">
        <x:f>IFERROR(VLOOKUP($B$7,'规则数据'!$F$13:$I$18,2,FALSE),"")</x:f>
        <x:v>医疗、侦查、交涉</x:v>
      </x:c>
      <x:c r="K16" s="139"/>
      <x:c r="L16" s="139"/>
      <x:c r="M16" s="139"/>
      <x:c r="N16" s="139"/>
    </x:row>
    <x:row r="17" ht="25" customHeight="1">
      <x:c r="A17" s="58" t="str">
        <x:v>近战</x:v>
      </x:c>
      <x:c r="B17" s="127" t="str">
        <x:v>未受训</x:v>
      </x:c>
      <x:c r="C17" s="137" t="n">
        <x:f>IF(B17="专家",4,IF(B17="受训",2,0))</x:f>
        <x:v>0</x:v>
      </x:c>
      <x:c r="D17" s="137" t="n">
        <x:f>IF(B17="专家",2,IF(B17="受训",1,0))</x:f>
        <x:v>0</x:v>
      </x:c>
      <x:c r="E17" s="58" t="str">
        <x:v>体魄／灵巧</x:v>
      </x:c>
      <x:c r="F17" s="58" t="str">
        <x:v>徒手、刀剑、长兵器、格挡</x:v>
      </x:c>
      <x:c r="G17" s="247"/>
      <x:c r="H17" s="247"/>
      <x:c r="I17" s="247"/>
      <x:c r="J17" s="139"/>
      <x:c r="K17" s="139"/>
      <x:c r="L17" s="139"/>
      <x:c r="M17" s="139"/>
      <x:c r="N17" s="139"/>
    </x:row>
    <x:row r="18" ht="25" customHeight="1">
      <x:c r="A18" s="58" t="str">
        <x:v>射击</x:v>
      </x:c>
      <x:c r="B18" s="127" t="str">
        <x:v>未受训</x:v>
      </x:c>
      <x:c r="C18" s="137" t="n">
        <x:f>IF(B18="专家",4,IF(B18="受训",2,0))</x:f>
        <x:v>0</x:v>
      </x:c>
      <x:c r="D18" s="137" t="n">
        <x:f>IF(B18="专家",2,IF(B18="受训",1,0))</x:f>
        <x:v>0</x:v>
      </x:c>
      <x:c r="E18" s="58" t="str">
        <x:v>灵巧</x:v>
      </x:c>
      <x:c r="F18" s="58" t="str">
        <x:v>枪械、弓弩、投掷、瞄准</x:v>
      </x:c>
      <x:c r="G18" s="247"/>
      <x:c r="H18" s="73" t="str">
        <x:v>才能示例</x:v>
      </x:c>
      <x:c r="I18" s="73"/>
      <x:c r="J18" s="139" t="str">
        <x:f>IFERROR(VLOOKUP($B$7,'规则数据'!$F$13:$I$18,3,FALSE),"")</x:f>
        <x:v>黄金十分钟：恢复3生命并止血</x:v>
      </x:c>
      <x:c r="K18" s="139"/>
      <x:c r="L18" s="139"/>
      <x:c r="M18" s="139"/>
      <x:c r="N18" s="139"/>
    </x:row>
    <x:row r="19" ht="25" customHeight="1">
      <x:c r="A19" s="58" t="str">
        <x:v>潜行</x:v>
      </x:c>
      <x:c r="B19" s="127" t="str">
        <x:v>未受训</x:v>
      </x:c>
      <x:c r="C19" s="137" t="n">
        <x:f>IF(B19="专家",4,IF(B19="受训",2,0))</x:f>
        <x:v>0</x:v>
      </x:c>
      <x:c r="D19" s="137" t="n">
        <x:f>IF(B19="专家",2,IF(B19="受训",1,0))</x:f>
        <x:v>0</x:v>
      </x:c>
      <x:c r="E19" s="58" t="str">
        <x:v>灵巧</x:v>
      </x:c>
      <x:c r="F19" s="58" t="str">
        <x:v>隐藏、尾随、藏物</x:v>
      </x:c>
      <x:c r="G19" s="247"/>
      <x:c r="H19" s="247"/>
      <x:c r="I19" s="247"/>
      <x:c r="J19" s="139"/>
      <x:c r="K19" s="139"/>
      <x:c r="L19" s="139"/>
      <x:c r="M19" s="139"/>
      <x:c r="N19" s="139"/>
    </x:row>
    <x:row r="20" ht="25" customHeight="1">
      <x:c r="A20" s="58" t="str">
        <x:v>侦查</x:v>
      </x:c>
      <x:c r="B20" s="127" t="str">
        <x:v>受训</x:v>
      </x:c>
      <x:c r="C20" s="137" t="n">
        <x:f>IF(B20="专家",4,IF(B20="受训",2,0))</x:f>
        <x:v>2</x:v>
      </x:c>
      <x:c r="D20" s="137" t="n">
        <x:f>IF(B20="专家",2,IF(B20="受训",1,0))</x:f>
        <x:v>1</x:v>
      </x:c>
      <x:c r="E20" s="58" t="str">
        <x:v>感知</x:v>
      </x:c>
      <x:c r="F20" s="58" t="str">
        <x:v>警戒、搜寻、追踪、魔力波动</x:v>
      </x:c>
      <x:c r="G20" s="247"/>
      <x:c r="H20" s="247"/>
      <x:c r="I20" s="247"/>
      <x:c r="J20" s="139"/>
      <x:c r="K20" s="139"/>
      <x:c r="L20" s="139"/>
      <x:c r="M20" s="139"/>
      <x:c r="N20" s="139"/>
    </x:row>
    <x:row r="21" ht="25" customHeight="1">
      <x:c r="A21" s="58" t="str">
        <x:v>调查</x:v>
      </x:c>
      <x:c r="B21" s="127" t="str">
        <x:v>受训</x:v>
      </x:c>
      <x:c r="C21" s="137" t="n">
        <x:f>IF(B21="专家",4,IF(B21="受训",2,0))</x:f>
        <x:v>2</x:v>
      </x:c>
      <x:c r="D21" s="137" t="n">
        <x:f>IF(B21="专家",2,IF(B21="受训",1,0))</x:f>
        <x:v>1</x:v>
      </x:c>
      <x:c r="E21" s="58" t="str">
        <x:v>学识／感知</x:v>
      </x:c>
      <x:c r="F21" s="58" t="str">
        <x:v>现场还原、查档、讯问</x:v>
      </x:c>
      <x:c r="G21" s="247"/>
      <x:c r="H21" s="73" t="str">
        <x:v>优势示例</x:v>
      </x:c>
      <x:c r="I21" s="73"/>
      <x:c r="J21" s="139" t="str">
        <x:f>IFERROR(VLOOKUP($B$7,'规则数据'!$F$13:$I$18,4,FALSE),"")</x:f>
        <x:v>医疗机构权限／药品与急救渠道</x:v>
      </x:c>
      <x:c r="K21" s="139"/>
      <x:c r="L21" s="139"/>
      <x:c r="M21" s="139"/>
      <x:c r="N21" s="139"/>
    </x:row>
    <x:row r="22" ht="25" customHeight="1">
      <x:c r="A22" s="58" t="str">
        <x:v>学术</x:v>
      </x:c>
      <x:c r="B22" s="127" t="str">
        <x:v>未受训</x:v>
      </x:c>
      <x:c r="C22" s="137" t="n">
        <x:f>IF(B22="专家",4,IF(B22="受训",2,0))</x:f>
        <x:v>0</x:v>
      </x:c>
      <x:c r="D22" s="137" t="n">
        <x:f>IF(B22="专家",2,IF(B22="受训",1,0))</x:f>
        <x:v>0</x:v>
      </x:c>
      <x:c r="E22" s="58" t="str">
        <x:v>学识</x:v>
      </x:c>
      <x:c r="F22" s="58" t="str">
        <x:v>历史、神话、语言、法律</x:v>
      </x:c>
      <x:c r="G22" s="247"/>
      <x:c r="H22" s="247"/>
      <x:c r="I22" s="247"/>
      <x:c r="J22" s="139"/>
      <x:c r="K22" s="139"/>
      <x:c r="L22" s="139"/>
      <x:c r="M22" s="139"/>
      <x:c r="N22" s="139"/>
    </x:row>
    <x:row r="23" ht="25" customHeight="1">
      <x:c r="A23" s="58" t="str">
        <x:v>技术</x:v>
      </x:c>
      <x:c r="B23" s="127" t="str">
        <x:v>未受训</x:v>
      </x:c>
      <x:c r="C23" s="137" t="n">
        <x:f>IF(B23="专家",4,IF(B23="受训",2,0))</x:f>
        <x:v>0</x:v>
      </x:c>
      <x:c r="D23" s="137" t="n">
        <x:f>IF(B23="专家",2,IF(B23="受训",1,0))</x:f>
        <x:v>0</x:v>
      </x:c>
      <x:c r="E23" s="58" t="str">
        <x:v>学识／灵巧</x:v>
      </x:c>
      <x:c r="F23" s="58" t="str">
        <x:v>电子、机械、爆破、驾驶</x:v>
      </x:c>
      <x:c r="G23" s="247"/>
      <x:c r="H23" s="247"/>
      <x:c r="I23" s="247"/>
      <x:c r="J23" s="247"/>
      <x:c r="K23" s="247"/>
      <x:c r="L23" s="247"/>
      <x:c r="M23" s="247"/>
      <x:c r="N23" s="247"/>
    </x:row>
    <x:row r="24" ht="24" customHeight="1">
      <x:c r="A24" s="58" t="str">
        <x:v>医疗</x:v>
      </x:c>
      <x:c r="B24" s="127" t="str">
        <x:v>专家</x:v>
      </x:c>
      <x:c r="C24" s="137" t="n">
        <x:f>IF(B24="专家",4,IF(B24="受训",2,0))</x:f>
        <x:v>4</x:v>
      </x:c>
      <x:c r="D24" s="137" t="n">
        <x:f>IF(B24="专家",2,IF(B24="受训",1,0))</x:f>
        <x:v>2</x:v>
      </x:c>
      <x:c r="E24" s="58" t="str">
        <x:v>学识／感知</x:v>
      </x:c>
      <x:c r="F24" s="58" t="str">
        <x:v>急救、诊断、药理</x:v>
      </x:c>
      <x:c r="G24" s="247"/>
      <x:c r="H24" s="67" t="str">
        <x:v>自定义标志才能</x:v>
      </x:c>
      <x:c r="I24" s="68"/>
      <x:c r="J24" s="68"/>
      <x:c r="K24" s="68"/>
      <x:c r="L24" s="68"/>
      <x:c r="M24" s="68"/>
      <x:c r="N24" s="69"/>
    </x:row>
    <x:row r="25" ht="25" customHeight="1">
      <x:c r="A25" s="58" t="str">
        <x:v>魔术</x:v>
      </x:c>
      <x:c r="B25" s="127" t="str">
        <x:v>未受训</x:v>
      </x:c>
      <x:c r="C25" s="137" t="n">
        <x:f>IF(B25="专家",4,IF(B25="受训",2,0))</x:f>
        <x:v>0</x:v>
      </x:c>
      <x:c r="D25" s="137" t="n">
        <x:f>IF(B25="专家",2,IF(B25="受训",1,0))</x:f>
        <x:v>0</x:v>
      </x:c>
      <x:c r="E25" s="58" t="str">
        <x:v>魔力／学识</x:v>
      </x:c>
      <x:c r="F25" s="58" t="str">
        <x:v>施术、识别、反制、灵脉</x:v>
      </x:c>
      <x:c r="G25" s="247"/>
      <x:c r="H25" s="73" t="str">
        <x:v>名称</x:v>
      </x:c>
      <x:c r="I25" s="73"/>
      <x:c r="J25" s="127" t="str">
        <x:v>黄金十分钟</x:v>
      </x:c>
      <x:c r="K25" s="127"/>
      <x:c r="L25" s="127"/>
      <x:c r="M25" s="127"/>
      <x:c r="N25" s="127"/>
    </x:row>
    <x:row r="26" ht="25" customHeight="1">
      <x:c r="A26" s="58" t="str">
        <x:v>交涉</x:v>
      </x:c>
      <x:c r="B26" s="127" t="str">
        <x:v>受训</x:v>
      </x:c>
      <x:c r="C26" s="137" t="n">
        <x:f>IF(B26="专家",4,IF(B26="受训",2,0))</x:f>
        <x:v>2</x:v>
      </x:c>
      <x:c r="D26" s="137" t="n">
        <x:f>IF(B26="专家",2,IF(B26="受训",1,0))</x:f>
        <x:v>1</x:v>
      </x:c>
      <x:c r="E26" s="58" t="str">
        <x:v>意志／感知／学识</x:v>
      </x:c>
      <x:c r="F26" s="58" t="str">
        <x:v>说服、安抚、欺骗、威慑</x:v>
      </x:c>
      <x:c r="G26" s="247"/>
      <x:c r="H26" s="73" t="str">
        <x:v>触发／动作</x:v>
      </x:c>
      <x:c r="I26" s="73"/>
      <x:c r="J26" s="127" t="str">
        <x:v>主要动作｜每名目标每场一次</x:v>
      </x:c>
      <x:c r="K26" s="127"/>
      <x:c r="L26" s="127"/>
      <x:c r="M26" s="127"/>
      <x:c r="N26" s="127"/>
    </x:row>
    <x:row r="27" ht="25" customHeight="1">
      <x:c r="A27" s="58" t="str">
        <x:v>指挥</x:v>
      </x:c>
      <x:c r="B27" s="127" t="str">
        <x:v>未受训</x:v>
      </x:c>
      <x:c r="C27" s="137" t="n">
        <x:f>IF(B27="专家",4,IF(B27="受训",2,0))</x:f>
        <x:v>0</x:v>
      </x:c>
      <x:c r="D27" s="137" t="n">
        <x:f>IF(B27="专家",2,IF(B27="受训",1,0))</x:f>
        <x:v>0</x:v>
      </x:c>
      <x:c r="E27" s="58" t="str">
        <x:v>意志／学识</x:v>
      </x:c>
      <x:c r="F27" s="58" t="str">
        <x:v>调度、协同、御主支援</x:v>
      </x:c>
      <x:c r="G27" s="247"/>
      <x:c r="H27" s="73" t="str">
        <x:v>成本／次数</x:v>
      </x:c>
      <x:c r="I27" s="73"/>
      <x:c r="J27" s="127" t="str">
        <x:v>学识＋医疗，对DC13</x:v>
      </x:c>
      <x:c r="K27" s="127"/>
      <x:c r="L27" s="127"/>
      <x:c r="M27" s="127"/>
      <x:c r="N27" s="127"/>
    </x:row>
    <x:row r="28">
      <x:c r="A28" s="177" t="str">
        <x:v>技能点合计</x:v>
      </x:c>
      <x:c r="B28" s="177"/>
      <x:c r="C28" s="177"/>
      <x:c r="D28" s="137" t="n">
        <x:f>SUM(D16:D27)</x:f>
        <x:v>6</x:v>
      </x:c>
      <x:c r="E28" s="177" t="str">
        <x:v>专家数量</x:v>
      </x:c>
      <x:c r="F28" s="137" t="n">
        <x:f>SUM(IF(B16="专家",1,0),IF(B17="专家",1,0),IF(B18="专家",1,0),IF(B19="专家",1,0),IF(B20="专家",1,0),IF(B21="专家",1,0),IF(B22="专家",1,0),IF(B23="专家",1,0),IF(B24="专家",1,0),IF(B25="专家",1,0),IF(B26="专家",1,0),IF(B27="专家",1,0))</x:f>
        <x:v>1</x:v>
      </x:c>
      <x:c r="G28" s="247"/>
      <x:c r="H28" s="73" t="str">
        <x:v>效果</x:v>
      </x:c>
      <x:c r="I28" s="73"/>
      <x:c r="J28" s="127" t="str">
        <x:v>恢复3生命并移除流血；大成功再恢复2或立刻站起</x:v>
      </x:c>
      <x:c r="K28" s="127"/>
      <x:c r="L28" s="127"/>
      <x:c r="M28" s="127"/>
      <x:c r="N28" s="127"/>
    </x:row>
    <x:row r="29">
      <x:c r="A29" s="247"/>
      <x:c r="B29" s="247"/>
      <x:c r="C29" s="247"/>
      <x:c r="D29" s="247"/>
      <x:c r="E29" s="247"/>
      <x:c r="F29" s="247"/>
      <x:c r="G29" s="247"/>
      <x:c r="H29" s="73" t="str">
        <x:v>失败／反制</x:v>
      </x:c>
      <x:c r="I29" s="73"/>
      <x:c r="J29" s="127" t="str">
        <x:v>失败不恢复但可稳定；差5以上物资耗尽</x:v>
      </x:c>
      <x:c r="K29" s="127"/>
      <x:c r="L29" s="127"/>
      <x:c r="M29" s="127"/>
      <x:c r="N29" s="127"/>
    </x:row>
    <x:row r="30">
      <x:c r="A30" s="247"/>
      <x:c r="B30" s="247"/>
      <x:c r="C30" s="247"/>
      <x:c r="D30" s="247"/>
      <x:c r="E30" s="247"/>
      <x:c r="F30" s="247"/>
      <x:c r="G30" s="247"/>
      <x:c r="H30" s="247"/>
      <x:c r="I30" s="247"/>
      <x:c r="J30" s="247"/>
      <x:c r="K30" s="247"/>
      <x:c r="L30" s="247"/>
      <x:c r="M30" s="247"/>
      <x:c r="N30" s="247"/>
    </x:row>
    <x:row r="31" ht="24" customHeight="1">
      <x:c r="A31" s="247"/>
      <x:c r="B31" s="247"/>
      <x:c r="C31" s="247"/>
      <x:c r="D31" s="247"/>
      <x:c r="E31" s="247"/>
      <x:c r="F31" s="247"/>
      <x:c r="G31" s="247"/>
      <x:c r="H31" s="35" t="str">
        <x:v>普通人三项核心能力</x:v>
      </x:c>
      <x:c r="I31" s="36"/>
      <x:c r="J31" s="36"/>
      <x:c r="K31" s="36"/>
      <x:c r="L31" s="36"/>
      <x:c r="M31" s="36"/>
      <x:c r="N31" s="37"/>
    </x:row>
    <x:row r="32">
      <x:c r="A32" s="247"/>
      <x:c r="B32" s="247"/>
      <x:c r="C32" s="247"/>
      <x:c r="D32" s="247"/>
      <x:c r="E32" s="247"/>
      <x:c r="F32" s="247"/>
      <x:c r="G32" s="247"/>
      <x:c r="H32" s="186" t="str">
        <x:v>专业判断</x:v>
      </x:c>
      <x:c r="I32" s="186" t="str">
        <x:v>职业足以直接完成常规任务时无需检定；有压力时照常用属性＋技能。</x:v>
      </x:c>
      <x:c r="J32" s="186"/>
      <x:c r="K32" s="186"/>
      <x:c r="L32" s="186"/>
      <x:c r="M32" s="186"/>
      <x:c r="N32" s="186"/>
    </x:row>
    <x:row r="33">
      <x:c r="A33" s="247"/>
      <x:c r="B33" s="247"/>
      <x:c r="C33" s="247"/>
      <x:c r="D33" s="247"/>
      <x:c r="E33" s="247"/>
      <x:c r="F33" s="247"/>
      <x:c r="G33" s="247"/>
      <x:c r="H33" s="186" t="str">
        <x:v>现实准备</x:v>
      </x:c>
      <x:c r="I33" s="186" t="str">
        <x:v>每场一次声明合理工具、联系人、手续或路线；可提供优势、取消环境惩罚或把一次失败改成带代价成功。</x:v>
      </x:c>
      <x:c r="J33" s="186"/>
      <x:c r="K33" s="186"/>
      <x:c r="L33" s="186"/>
      <x:c r="M33" s="186"/>
      <x:c r="N33" s="186"/>
    </x:row>
    <x:row r="34">
      <x:c r="A34" s="247"/>
      <x:c r="B34" s="247"/>
      <x:c r="C34" s="247"/>
      <x:c r="D34" s="247"/>
      <x:c r="E34" s="247"/>
      <x:c r="F34" s="247"/>
      <x:c r="G34" s="247"/>
      <x:c r="H34" s="186" t="str">
        <x:v>人类韧性</x:v>
      </x:c>
      <x:c r="I34" s="186" t="str">
        <x:v>消耗1决意：重掷；在0生命时立刻稳定；或替相邻目标承受一次伤害。</x:v>
      </x:c>
      <x:c r="J34" s="186"/>
      <x:c r="K34" s="186"/>
      <x:c r="L34" s="186"/>
      <x:c r="M34" s="186"/>
      <x:c r="N34" s="186"/>
    </x:row>
  </x:sheetData>
  <x:mergeCells>
    <x:mergeCell ref="A1:N1"/>
    <x:mergeCell ref="A2:N2"/>
    <x:mergeCell ref="A3:D3"/>
    <x:mergeCell ref="B4:D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F12:H12"/>
    <x:mergeCell ref="K3:N3"/>
    <x:mergeCell ref="A28:C28"/>
    <x:mergeCell ref="H15:N15"/>
    <x:mergeCell ref="H16:I16"/>
    <x:mergeCell ref="J16:N17"/>
    <x:mergeCell ref="H18:I18"/>
    <x:mergeCell ref="J18:N20"/>
    <x:mergeCell ref="H21:I21"/>
    <x:mergeCell ref="J21:N22"/>
    <x:mergeCell ref="H24:N24"/>
    <x:mergeCell ref="H25:I25"/>
    <x:mergeCell ref="H26:I26"/>
    <x:mergeCell ref="H27:I27"/>
    <x:mergeCell ref="H28:I28"/>
    <x:mergeCell ref="H29:I29"/>
    <x:mergeCell ref="J25:N25"/>
    <x:mergeCell ref="J26:N26"/>
    <x:mergeCell ref="J27:N27"/>
    <x:mergeCell ref="J28:N28"/>
    <x:mergeCell ref="J29:N29"/>
    <x:mergeCell ref="H31:N31"/>
    <x:mergeCell ref="I32:N32"/>
    <x:mergeCell ref="I33:N33"/>
    <x:mergeCell ref="I34:N34"/>
  </x:mergeCells>
  <x:conditionalFormatting sqref="N5:N13">
    <x:cfRule type="containsText" dxfId="14" priority="1" operator="containsText" text="合法"/>
    <x:cfRule type="containsText" dxfId="15" priority="2" operator="containsText" text="通过"/>
    <x:cfRule type="containsText" dxfId="16" priority="3" operator="containsText" text="需要"/>
    <x:cfRule type="containsText" dxfId="17" priority="4" operator="containsText" text="确认"/>
    <x:cfRule type="containsText" dxfId="18" priority="5" operator="containsText" text="错误"/>
    <x:cfRule type="containsText" dxfId="19" priority="6" operator="containsText" text="不合法"/>
    <x:cfRule type="containsText" dxfId="20" priority="7" operator="containsText" text="超限"/>
  </x:conditionalFormatting>
  <x:conditionalFormatting sqref="L13:L13">
    <x:cfRule type="containsText" dxfId="21" priority="8" operator="containsText" text="合法"/>
    <x:cfRule type="containsText" dxfId="22" priority="9" operator="containsText" text="通过"/>
    <x:cfRule type="containsText" dxfId="23" priority="10" operator="containsText" text="需要"/>
    <x:cfRule type="containsText" dxfId="24" priority="11" operator="containsText" text="确认"/>
    <x:cfRule type="containsText" dxfId="25" priority="12" operator="containsText" text="错误"/>
    <x:cfRule type="containsText" dxfId="26" priority="13" operator="containsText" text="不合法"/>
    <x:cfRule type="containsText" dxfId="27" priority="14" operator="containsText" text="超限"/>
  </x:conditionalFormatting>
  <x:dataValidations count="4">
    <x:dataValidation type="list" sqref="B7:D7">
      <x:formula1>"医疗与照护,调查与媒体,工程与技术,护卫与军警,社区与制度,学生／无籍者"</x:formula1>
    </x:dataValidation>
    <x:dataValidation type="list" sqref="B8:D8">
      <x:formula1>"机构权限,财富,媒体,医疗,工程,情报,军警训练,社区信任"</x:formula1>
    </x:dataValidation>
    <x:dataValidation type="list" sqref="G5:G11">
      <x:formula1>"E,D,C,B,A"</x:formula1>
    </x:dataValidation>
    <x:dataValidation type="list" sqref="B16:B27">
      <x:formula1>"未受训,受训,专家"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28" hidden="0" customWidth="1"/>
    <x:col min="7" max="7" width="10" hidden="0" customWidth="1"/>
    <x:col min="8" max="8" width="10" hidden="0" customWidth="1"/>
    <x:col min="9" max="9" width="10" hidden="0" customWidth="1"/>
    <x:col min="10" max="10" width="18" hidden="0" customWidth="1"/>
    <x:col min="11" max="11" width="14" hidden="0" customWidth="1"/>
    <x:col min="12" max="12" width="15" hidden="0" customWidth="1"/>
    <x:col min="13" max="13" width="15" hidden="0" customWidth="1"/>
    <x:col min="14" max="14" width="24" hidden="0" customWidth="1"/>
  </x:cols>
  <x:sheetData>
    <x:row r="1" ht="34" customHeight="1">
      <x:c r="A1" s="118" t="str">
        <x:v>魔术师｜完整构筑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8"/>
      <x:c r="M1" s="118"/>
      <x:c r="N1" s="118"/>
    </x:row>
    <x:row r="2" ht="22" customHeight="1">
      <x:c r="A2" s="121" t="str">
        <x:v>属性、通用技能、两系谱、四术式、起始礼装与明确限制统一校验。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  <x:c r="L2" s="121"/>
      <x:c r="M2" s="121"/>
      <x:c r="N2" s="121"/>
    </x:row>
    <x:row r="3" ht="24" customHeight="1">
      <x:c r="A3" s="193" t="str">
        <x:v>身份与魔术系谱</x:v>
      </x:c>
      <x:c r="B3" s="194"/>
      <x:c r="C3" s="194"/>
      <x:c r="D3" s="195"/>
      <x:c r="E3" s="247"/>
      <x:c r="F3" s="247"/>
      <x:c r="G3" s="247"/>
      <x:c r="H3" s="247"/>
      <x:c r="I3" s="247"/>
      <x:c r="J3" s="247"/>
      <x:c r="K3" s="109" t="str">
        <x:v>预算与派生</x:v>
      </x:c>
      <x:c r="L3" s="180"/>
      <x:c r="M3" s="180"/>
      <x:c r="N3" s="110"/>
    </x:row>
    <x:row r="4">
      <x:c r="A4" s="58" t="str">
        <x:v>玩家</x:v>
      </x:c>
      <x:c r="B4" s="127" t="str">
        <x:v>玩家</x:v>
      </x:c>
      <x:c r="C4" s="127"/>
      <x:c r="D4" s="127"/>
      <x:c r="E4" s="247"/>
      <x:c r="F4" s="131" t="str">
        <x:v>属性</x:v>
      </x:c>
      <x:c r="G4" s="131" t="str">
        <x:v>阶位</x:v>
      </x:c>
      <x:c r="H4" s="131" t="str">
        <x:v>数值</x:v>
      </x:c>
      <x:c r="I4" s="131" t="str">
        <x:v>点购</x:v>
      </x:c>
      <x:c r="J4" s="131" t="str">
        <x:v>说明</x:v>
      </x:c>
      <x:c r="K4" s="177" t="str">
        <x:v>项目</x:v>
      </x:c>
      <x:c r="L4" s="177" t="str">
        <x:v>结果</x:v>
      </x:c>
      <x:c r="M4" s="177" t="str">
        <x:v>限制</x:v>
      </x:c>
      <x:c r="N4" s="177" t="str">
        <x:v>检查</x:v>
      </x:c>
    </x:row>
    <x:row r="5">
      <x:c r="A5" s="58" t="str">
        <x:v>角色名称</x:v>
      </x:c>
      <x:c r="B5" s="127" t="str">
        <x:v>未命名魔术师</x:v>
      </x:c>
      <x:c r="C5" s="127"/>
      <x:c r="D5" s="127"/>
      <x:c r="E5" s="247"/>
      <x:c r="F5" s="26" t="str">
        <x:v>体魄</x:v>
      </x:c>
      <x:c r="G5" s="127" t="str">
        <x:v>E</x:v>
      </x:c>
      <x:c r="H5" s="137" t="n">
        <x:f>IFERROR(VLOOKUP(G5,'规则数据'!$A$5:$D$9,2,FALSE),0)</x:f>
        <x:v>0</x:v>
      </x:c>
      <x:c r="I5" s="137" t="n">
        <x:f>IFERROR(VLOOKUP(G5,'规则数据'!$A$5:$D$9,3,FALSE),99)</x:f>
        <x:v>0</x:v>
      </x:c>
      <x:c r="J5" s="26" t="str">
        <x:v>创建上限按身份</x:v>
      </x:c>
      <x:c r="K5" s="26" t="str">
        <x:v>属性点</x:v>
      </x:c>
      <x:c r="L5" s="137" t="n">
        <x:f>I12</x:f>
        <x:v>15</x:v>
      </x:c>
      <x:c r="M5" s="26" t="str">
        <x:v>≤15；最高B</x:v>
      </x:c>
      <x:c r="N5" s="137" t="str">
        <x:f>IF(AND(I12&lt;=15,MAX(H5:H11)&lt;=3,H11&gt;=1),"通过","超限")</x:f>
        <x:v>通过</x:v>
      </x:c>
    </x:row>
    <x:row r="6">
      <x:c r="A6" s="58" t="str">
        <x:v>概念／动机</x:v>
      </x:c>
      <x:c r="B6" s="127" t="str">
        <x:v>结界与灵脉工程师</x:v>
      </x:c>
      <x:c r="C6" s="127"/>
      <x:c r="D6" s="127"/>
      <x:c r="E6" s="247"/>
      <x:c r="F6" s="26" t="str">
        <x:v>耐久</x:v>
      </x:c>
      <x:c r="G6" s="127" t="str">
        <x:v>D</x:v>
      </x:c>
      <x:c r="H6" s="137" t="n">
        <x:f>IFERROR(VLOOKUP(G6,'规则数据'!$A$5:$D$9,2,FALSE),0)</x:f>
        <x:v>1</x:v>
      </x:c>
      <x:c r="I6" s="137" t="n">
        <x:f>IFERROR(VLOOKUP(G6,'规则数据'!$A$5:$D$9,3,FALSE),99)</x:f>
        <x:v>1</x:v>
      </x:c>
      <x:c r="J6" s="26" t="str">
        <x:v>创建上限按身份</x:v>
      </x:c>
      <x:c r="K6" s="26" t="str">
        <x:v>技能点</x:v>
      </x:c>
      <x:c r="L6" s="137" t="n">
        <x:f>SUM(IF(B16="专家",2,IF(B16="受训",1,0)),IF(B17="专家",2,IF(B17="受训",1,0)),IF(B18="专家",2,IF(B18="受训",1,0)),IF(B19="专家",2,IF(B19="受训",1,0)),IF(B20="专家",2,IF(B20="受训",1,0)),IF(B21="专家",2,IF(B21="受训",1,0)),IF(B22="专家",2,IF(B22="受训",1,0)),IF(B23="专家",2,IF(B23="受训",1,0)),IF(B24="专家",2,IF(B24="受训",1,0)),IF(B25="专家",2,IF(B25="受训",1,0)),IF(B26="专家",2,IF(B26="受训",1,0)),IF(B27="专家",2,IF(B27="受训",1,0)))</x:f>
        <x:v>6</x:v>
      </x:c>
      <x:c r="M6" s="26" t="str">
        <x:v>≤6</x:v>
      </x:c>
      <x:c r="N6" s="137" t="str">
        <x:f>IF(AND(SUM(IF(B16="专家",2,IF(B16="受训",1,0)),IF(B17="专家",2,IF(B17="受训",1,0)),IF(B18="专家",2,IF(B18="受训",1,0)),IF(B19="专家",2,IF(B19="受训",1,0)),IF(B20="专家",2,IF(B20="受训",1,0)),IF(B21="专家",2,IF(B21="受训",1,0)),IF(B22="专家",2,IF(B22="受训",1,0)),IF(B23="专家",2,IF(B23="受训",1,0)),IF(B24="专家",2,IF(B24="受训",1,0)),IF(B25="专家",2,IF(B25="受训",1,0)),IF(B26="专家",2,IF(B26="受训",1,0)),IF(B27="专家",2,IF(B27="受训",1,0)))&lt;=6,SUM(IF(B16="专家",1,0),IF(B17="专家",1,0),IF(B18="专家",1,0),IF(B19="专家",1,0),IF(B20="专家",1,0),IF(B21="专家",1,0),IF(B22="专家",1,0),IF(B23="专家",1,0),IF(B24="专家",1,0),IF(B25="专家",1,0),IF(B26="专家",1,0),IF(B27="专家",1,0))&lt;=1),"通过","超限")</x:f>
        <x:v>通过</x:v>
      </x:c>
    </x:row>
    <x:row r="7">
      <x:c r="A7" s="58" t="str">
        <x:v>系谱1</x:v>
      </x:c>
      <x:c r="B7" s="127" t="str">
        <x:v>结界系谱</x:v>
      </x:c>
      <x:c r="C7" s="127"/>
      <x:c r="D7" s="127"/>
      <x:c r="E7" s="247"/>
      <x:c r="F7" s="26" t="str">
        <x:v>灵巧</x:v>
      </x:c>
      <x:c r="G7" s="127" t="str">
        <x:v>D</x:v>
      </x:c>
      <x:c r="H7" s="137" t="n">
        <x:f>IFERROR(VLOOKUP(G7,'规则数据'!$A$5:$D$9,2,FALSE),0)</x:f>
        <x:v>1</x:v>
      </x:c>
      <x:c r="I7" s="137" t="n">
        <x:f>IFERROR(VLOOKUP(G7,'规则数据'!$A$5:$D$9,3,FALSE),99)</x:f>
        <x:v>1</x:v>
      </x:c>
      <x:c r="J7" s="26" t="str">
        <x:v>创建上限按身份</x:v>
      </x:c>
      <x:c r="K7" s="26" t="str">
        <x:v>魔术技能</x:v>
      </x:c>
      <x:c r="L7" s="137" t="n">
        <x:f>C25</x:f>
        <x:v>4</x:v>
      </x:c>
      <x:c r="M7" s="26" t="str">
        <x:v>至少受训</x:v>
      </x:c>
      <x:c r="N7" s="137" t="str">
        <x:f>IF(B25&lt;&gt;"未受训","通过","不合法")</x:f>
        <x:v>通过</x:v>
      </x:c>
    </x:row>
    <x:row r="8">
      <x:c r="A8" s="58" t="str">
        <x:v>系谱2</x:v>
      </x:c>
      <x:c r="B8" s="127" t="str">
        <x:v>灵脉系谱</x:v>
      </x:c>
      <x:c r="C8" s="127"/>
      <x:c r="D8" s="127"/>
      <x:c r="E8" s="247"/>
      <x:c r="F8" s="26" t="str">
        <x:v>感知</x:v>
      </x:c>
      <x:c r="G8" s="127" t="str">
        <x:v>C</x:v>
      </x:c>
      <x:c r="H8" s="137" t="n">
        <x:f>IFERROR(VLOOKUP(G8,'规则数据'!$A$5:$D$9,2,FALSE),0)</x:f>
        <x:v>2</x:v>
      </x:c>
      <x:c r="I8" s="137" t="n">
        <x:f>IFERROR(VLOOKUP(G8,'规则数据'!$A$5:$D$9,3,FALSE),99)</x:f>
        <x:v>3</x:v>
      </x:c>
      <x:c r="J8" s="26" t="str">
        <x:v>创建上限按身份</x:v>
      </x:c>
      <x:c r="K8" s="26" t="str">
        <x:v>生命</x:v>
      </x:c>
      <x:c r="L8" s="137" t="n">
        <x:f>8+H6*2</x:f>
        <x:v>10</x:v>
      </x:c>
      <x:c r="M8" s="26" t="str">
        <x:v>8＋耐久×2</x:v>
      </x:c>
      <x:c r="N8" s="137"/>
    </x:row>
    <x:row r="9">
      <x:c r="A9" s="58" t="str">
        <x:v>明确限制</x:v>
      </x:c>
      <x:c r="B9" s="127" t="str">
        <x:v>必须先布置可见锚点</x:v>
      </x:c>
      <x:c r="C9" s="127"/>
      <x:c r="D9" s="127"/>
      <x:c r="E9" s="247"/>
      <x:c r="F9" s="26" t="str">
        <x:v>学识</x:v>
      </x:c>
      <x:c r="G9" s="127" t="str">
        <x:v>B</x:v>
      </x:c>
      <x:c r="H9" s="137" t="n">
        <x:f>IFERROR(VLOOKUP(G9,'规则数据'!$A$5:$D$9,2,FALSE),0)</x:f>
        <x:v>3</x:v>
      </x:c>
      <x:c r="I9" s="137" t="n">
        <x:f>IFERROR(VLOOKUP(G9,'规则数据'!$A$5:$D$9,3,FALSE),99)</x:f>
        <x:v>6</x:v>
      </x:c>
      <x:c r="J9" s="26" t="str">
        <x:v>创建上限按身份</x:v>
      </x:c>
      <x:c r="K9" s="26" t="str">
        <x:v>MP</x:v>
      </x:c>
      <x:c r="L9" s="137" t="n">
        <x:f>4+H11*2</x:f>
        <x:v>6</x:v>
      </x:c>
      <x:c r="M9" s="26" t="str">
        <x:v>4＋魔力×2</x:v>
      </x:c>
      <x:c r="N9" s="137"/>
    </x:row>
    <x:row r="10">
      <x:c r="A10" s="58" t="str">
        <x:v>传承礼装额外限制</x:v>
      </x:c>
      <x:c r="B10" s="127" t="str">
        <x:v>选择传承礼装时必填</x:v>
      </x:c>
      <x:c r="C10" s="127"/>
      <x:c r="D10" s="127"/>
      <x:c r="E10" s="247"/>
      <x:c r="F10" s="26" t="str">
        <x:v>意志</x:v>
      </x:c>
      <x:c r="G10" s="127" t="str">
        <x:v>C</x:v>
      </x:c>
      <x:c r="H10" s="137" t="n">
        <x:f>IFERROR(VLOOKUP(G10,'规则数据'!$A$5:$D$9,2,FALSE),0)</x:f>
        <x:v>2</x:v>
      </x:c>
      <x:c r="I10" s="137" t="n">
        <x:f>IFERROR(VLOOKUP(G10,'规则数据'!$A$5:$D$9,3,FALSE),99)</x:f>
        <x:v>3</x:v>
      </x:c>
      <x:c r="J10" s="26" t="str">
        <x:v>创建上限按身份</x:v>
      </x:c>
      <x:c r="K10" s="26" t="str">
        <x:v>回避</x:v>
      </x:c>
      <x:c r="L10" s="137" t="n">
        <x:f>10+H7</x:f>
        <x:v>11</x:v>
      </x:c>
      <x:c r="M10" s="26" t="str">
        <x:v>10＋灵巧</x:v>
      </x:c>
      <x:c r="N10" s="137"/>
    </x:row>
    <x:row r="11">
      <x:c r="A11" s="58" t="str">
        <x:v>愿望／底线</x:v>
      </x:c>
      <x:c r="B11" s="127" t="str">
        <x:v>保护参与者并结束异常仪式</x:v>
      </x:c>
      <x:c r="C11" s="127"/>
      <x:c r="D11" s="127"/>
      <x:c r="E11" s="247"/>
      <x:c r="F11" s="26" t="str">
        <x:v>魔力</x:v>
      </x:c>
      <x:c r="G11" s="127" t="str">
        <x:v>D</x:v>
      </x:c>
      <x:c r="H11" s="137" t="n">
        <x:f>IFERROR(VLOOKUP(G11,'规则数据'!$A$5:$D$9,2,FALSE),0)</x:f>
        <x:v>1</x:v>
      </x:c>
      <x:c r="I11" s="137" t="n">
        <x:f>IFERROR(VLOOKUP(G11,'规则数据'!$A$5:$D$9,3,FALSE),99)</x:f>
        <x:v>1</x:v>
      </x:c>
      <x:c r="J11" s="26" t="str">
        <x:v>至少D</x:v>
      </x:c>
      <x:c r="K11" s="26" t="str">
        <x:v>坚韧</x:v>
      </x:c>
      <x:c r="L11" s="137" t="n">
        <x:f>10+H6</x:f>
        <x:v>11</x:v>
      </x:c>
      <x:c r="M11" s="26" t="str">
        <x:v>10＋耐久</x:v>
      </x:c>
      <x:c r="N11" s="137"/>
    </x:row>
    <x:row r="12">
      <x:c r="A12" s="58" t="str">
        <x:v>A+触发条件</x:v>
      </x:c>
      <x:c r="B12" s="127" t="str">
        <x:v>留空；A+不作为永久阶位购买</x:v>
      </x:c>
      <x:c r="C12" s="127"/>
      <x:c r="D12" s="127"/>
      <x:c r="E12" s="247"/>
      <x:c r="F12" s="177" t="str">
        <x:v>属性点合计</x:v>
      </x:c>
      <x:c r="G12" s="177"/>
      <x:c r="H12" s="177"/>
      <x:c r="I12" s="137" t="n">
        <x:f>SUM(I5:I11)</x:f>
        <x:v>15</x:v>
      </x:c>
      <x:c r="J12" s="150" t="str">
        <x:v>预算15</x:v>
      </x:c>
      <x:c r="K12" s="26" t="str">
        <x:v>精神</x:v>
      </x:c>
      <x:c r="L12" s="137" t="n">
        <x:f>10+H10</x:f>
        <x:v>12</x:v>
      </x:c>
      <x:c r="M12" s="26" t="str">
        <x:v>10＋意志</x:v>
      </x:c>
      <x:c r="N12" s="137"/>
    </x:row>
    <x:row r="13">
      <x:c r="A13" s="247"/>
      <x:c r="B13" s="247"/>
      <x:c r="C13" s="247"/>
      <x:c r="D13" s="247"/>
      <x:c r="E13" s="247"/>
      <x:c r="F13" s="247"/>
      <x:c r="G13" s="247"/>
      <x:c r="H13" s="247"/>
      <x:c r="I13" s="247"/>
      <x:c r="J13" s="247"/>
      <x:c r="K13" s="26" t="str">
        <x:v>总状态</x:v>
      </x:c>
      <x:c r="L13" s="137" t="str">
        <x:f>IF(AND(N5="通过",N6="通过",N7="通过",N52="通过",N59&lt;&gt;"不合法",B7&lt;&gt;B8),"合法","需要处理")</x:f>
        <x:v>合法</x:v>
      </x:c>
      <x:c r="M13" s="26" t="str">
        <x:v>全部通过</x:v>
      </x:c>
      <x:c r="N13" s="137"/>
    </x:row>
    <x:row r="14">
      <x:c r="A14" s="247"/>
      <x:c r="B14" s="247"/>
      <x:c r="C14" s="247"/>
      <x:c r="D14" s="247"/>
      <x:c r="E14" s="247"/>
      <x:c r="F14" s="247"/>
      <x:c r="G14" s="247"/>
      <x:c r="H14" s="247"/>
      <x:c r="I14" s="247"/>
      <x:c r="J14" s="247"/>
      <x:c r="K14" s="247"/>
      <x:c r="L14" s="247"/>
      <x:c r="M14" s="247"/>
      <x:c r="N14" s="247"/>
    </x:row>
    <x:row r="15">
      <x:c r="A15" s="41" t="str">
        <x:v>通用技能</x:v>
      </x:c>
      <x:c r="B15" s="41" t="str">
        <x:v>训练</x:v>
      </x:c>
      <x:c r="C15" s="41" t="str">
        <x:v>加值</x:v>
      </x:c>
      <x:c r="D15" s="41" t="str">
        <x:v>成本</x:v>
      </x:c>
      <x:c r="E15" s="41" t="str">
        <x:v>常用属性</x:v>
      </x:c>
      <x:c r="F15" s="41" t="str">
        <x:v>应用预览</x:v>
      </x:c>
      <x:c r="G15" s="247"/>
      <x:c r="H15" s="247"/>
      <x:c r="I15" s="247"/>
      <x:c r="J15" s="247"/>
      <x:c r="K15" s="247"/>
      <x:c r="L15" s="247"/>
      <x:c r="M15" s="247"/>
      <x:c r="N15" s="247"/>
    </x:row>
    <x:row r="16" ht="25" customHeight="1">
      <x:c r="A16" s="58" t="str">
        <x:v>运动</x:v>
      </x:c>
      <x:c r="B16" s="127" t="str">
        <x:v>未受训</x:v>
      </x:c>
      <x:c r="C16" s="137" t="n">
        <x:f>IF(B16="专家",4,IF(B16="受训",2,0))</x:f>
        <x:v>0</x:v>
      </x:c>
      <x:c r="D16" s="137" t="n">
        <x:f>IF(B16="专家",2,IF(B16="受训",1,0))</x:f>
        <x:v>0</x:v>
      </x:c>
      <x:c r="E16" s="58" t="str">
        <x:v>体魄／灵巧／耐久</x:v>
      </x:c>
      <x:c r="F16" s="58" t="str">
        <x:v>奔跑、攀爬、游泳、挣脱</x:v>
      </x:c>
      <x:c r="G16" s="247"/>
      <x:c r="H16" s="247"/>
      <x:c r="I16" s="247"/>
      <x:c r="J16" s="247"/>
      <x:c r="K16" s="247"/>
      <x:c r="L16" s="247"/>
      <x:c r="M16" s="247"/>
      <x:c r="N16" s="247"/>
    </x:row>
    <x:row r="17" ht="25" customHeight="1">
      <x:c r="A17" s="58" t="str">
        <x:v>近战</x:v>
      </x:c>
      <x:c r="B17" s="127" t="str">
        <x:v>未受训</x:v>
      </x:c>
      <x:c r="C17" s="137" t="n">
        <x:f>IF(B17="专家",4,IF(B17="受训",2,0))</x:f>
        <x:v>0</x:v>
      </x:c>
      <x:c r="D17" s="137" t="n">
        <x:f>IF(B17="专家",2,IF(B17="受训",1,0))</x:f>
        <x:v>0</x:v>
      </x:c>
      <x:c r="E17" s="58" t="str">
        <x:v>体魄／灵巧</x:v>
      </x:c>
      <x:c r="F17" s="58" t="str">
        <x:v>徒手、刀剑、长兵器、格挡</x:v>
      </x:c>
      <x:c r="G17" s="247"/>
      <x:c r="H17" s="247"/>
      <x:c r="I17" s="247"/>
      <x:c r="J17" s="247"/>
      <x:c r="K17" s="247"/>
      <x:c r="L17" s="247"/>
      <x:c r="M17" s="247"/>
      <x:c r="N17" s="247"/>
    </x:row>
    <x:row r="18" ht="25" customHeight="1">
      <x:c r="A18" s="58" t="str">
        <x:v>射击</x:v>
      </x:c>
      <x:c r="B18" s="127" t="str">
        <x:v>未受训</x:v>
      </x:c>
      <x:c r="C18" s="137" t="n">
        <x:f>IF(B18="专家",4,IF(B18="受训",2,0))</x:f>
        <x:v>0</x:v>
      </x:c>
      <x:c r="D18" s="137" t="n">
        <x:f>IF(B18="专家",2,IF(B18="受训",1,0))</x:f>
        <x:v>0</x:v>
      </x:c>
      <x:c r="E18" s="58" t="str">
        <x:v>灵巧</x:v>
      </x:c>
      <x:c r="F18" s="58" t="str">
        <x:v>枪械、弓弩、投掷、瞄准</x:v>
      </x:c>
      <x:c r="G18" s="247"/>
      <x:c r="H18" s="247"/>
      <x:c r="I18" s="247"/>
      <x:c r="J18" s="247"/>
      <x:c r="K18" s="247"/>
      <x:c r="L18" s="247"/>
      <x:c r="M18" s="247"/>
      <x:c r="N18" s="247"/>
    </x:row>
    <x:row r="19" ht="25" customHeight="1">
      <x:c r="A19" s="58" t="str">
        <x:v>潜行</x:v>
      </x:c>
      <x:c r="B19" s="127" t="str">
        <x:v>未受训</x:v>
      </x:c>
      <x:c r="C19" s="137" t="n">
        <x:f>IF(B19="专家",4,IF(B19="受训",2,0))</x:f>
        <x:v>0</x:v>
      </x:c>
      <x:c r="D19" s="137" t="n">
        <x:f>IF(B19="专家",2,IF(B19="受训",1,0))</x:f>
        <x:v>0</x:v>
      </x:c>
      <x:c r="E19" s="58" t="str">
        <x:v>灵巧</x:v>
      </x:c>
      <x:c r="F19" s="58" t="str">
        <x:v>隐藏、尾随、藏物</x:v>
      </x:c>
      <x:c r="G19" s="247"/>
      <x:c r="H19" s="247"/>
      <x:c r="I19" s="247"/>
      <x:c r="J19" s="247"/>
      <x:c r="K19" s="247"/>
      <x:c r="L19" s="247"/>
      <x:c r="M19" s="247"/>
      <x:c r="N19" s="247"/>
    </x:row>
    <x:row r="20" ht="25" customHeight="1">
      <x:c r="A20" s="58" t="str">
        <x:v>侦查</x:v>
      </x:c>
      <x:c r="B20" s="127" t="str">
        <x:v>受训</x:v>
      </x:c>
      <x:c r="C20" s="137" t="n">
        <x:f>IF(B20="专家",4,IF(B20="受训",2,0))</x:f>
        <x:v>2</x:v>
      </x:c>
      <x:c r="D20" s="137" t="n">
        <x:f>IF(B20="专家",2,IF(B20="受训",1,0))</x:f>
        <x:v>1</x:v>
      </x:c>
      <x:c r="E20" s="58" t="str">
        <x:v>感知</x:v>
      </x:c>
      <x:c r="F20" s="58" t="str">
        <x:v>警戒、搜寻、追踪、魔力波动</x:v>
      </x:c>
      <x:c r="G20" s="247"/>
      <x:c r="H20" s="247"/>
      <x:c r="I20" s="247"/>
      <x:c r="J20" s="247"/>
      <x:c r="K20" s="247"/>
      <x:c r="L20" s="247"/>
      <x:c r="M20" s="247"/>
      <x:c r="N20" s="247"/>
    </x:row>
    <x:row r="21" ht="25" customHeight="1">
      <x:c r="A21" s="58" t="str">
        <x:v>调查</x:v>
      </x:c>
      <x:c r="B21" s="127" t="str">
        <x:v>受训</x:v>
      </x:c>
      <x:c r="C21" s="137" t="n">
        <x:f>IF(B21="专家",4,IF(B21="受训",2,0))</x:f>
        <x:v>2</x:v>
      </x:c>
      <x:c r="D21" s="137" t="n">
        <x:f>IF(B21="专家",2,IF(B21="受训",1,0))</x:f>
        <x:v>1</x:v>
      </x:c>
      <x:c r="E21" s="58" t="str">
        <x:v>学识／感知</x:v>
      </x:c>
      <x:c r="F21" s="58" t="str">
        <x:v>现场还原、查档、讯问</x:v>
      </x:c>
      <x:c r="G21" s="247"/>
      <x:c r="H21" s="247"/>
      <x:c r="I21" s="247"/>
      <x:c r="J21" s="247"/>
      <x:c r="K21" s="247"/>
      <x:c r="L21" s="247"/>
      <x:c r="M21" s="247"/>
      <x:c r="N21" s="247"/>
    </x:row>
    <x:row r="22" ht="25" customHeight="1">
      <x:c r="A22" s="58" t="str">
        <x:v>学术</x:v>
      </x:c>
      <x:c r="B22" s="127" t="str">
        <x:v>受训</x:v>
      </x:c>
      <x:c r="C22" s="137" t="n">
        <x:f>IF(B22="专家",4,IF(B22="受训",2,0))</x:f>
        <x:v>2</x:v>
      </x:c>
      <x:c r="D22" s="137" t="n">
        <x:f>IF(B22="专家",2,IF(B22="受训",1,0))</x:f>
        <x:v>1</x:v>
      </x:c>
      <x:c r="E22" s="58" t="str">
        <x:v>学识</x:v>
      </x:c>
      <x:c r="F22" s="58" t="str">
        <x:v>历史、神话、语言、法律</x:v>
      </x:c>
      <x:c r="G22" s="247"/>
      <x:c r="H22" s="247"/>
      <x:c r="I22" s="247"/>
      <x:c r="J22" s="247"/>
      <x:c r="K22" s="247"/>
      <x:c r="L22" s="247"/>
      <x:c r="M22" s="247"/>
      <x:c r="N22" s="247"/>
    </x:row>
    <x:row r="23" ht="25" customHeight="1">
      <x:c r="A23" s="58" t="str">
        <x:v>技术</x:v>
      </x:c>
      <x:c r="B23" s="127" t="str">
        <x:v>未受训</x:v>
      </x:c>
      <x:c r="C23" s="137" t="n">
        <x:f>IF(B23="专家",4,IF(B23="受训",2,0))</x:f>
        <x:v>0</x:v>
      </x:c>
      <x:c r="D23" s="137" t="n">
        <x:f>IF(B23="专家",2,IF(B23="受训",1,0))</x:f>
        <x:v>0</x:v>
      </x:c>
      <x:c r="E23" s="58" t="str">
        <x:v>学识／灵巧</x:v>
      </x:c>
      <x:c r="F23" s="58" t="str">
        <x:v>电子、机械、爆破、驾驶</x:v>
      </x:c>
      <x:c r="G23" s="247"/>
      <x:c r="H23" s="247"/>
      <x:c r="I23" s="247"/>
      <x:c r="J23" s="247"/>
      <x:c r="K23" s="247"/>
      <x:c r="L23" s="247"/>
      <x:c r="M23" s="247"/>
      <x:c r="N23" s="247"/>
    </x:row>
    <x:row r="24" ht="25" customHeight="1">
      <x:c r="A24" s="58" t="str">
        <x:v>医疗</x:v>
      </x:c>
      <x:c r="B24" s="127" t="str">
        <x:v>未受训</x:v>
      </x:c>
      <x:c r="C24" s="137" t="n">
        <x:f>IF(B24="专家",4,IF(B24="受训",2,0))</x:f>
        <x:v>0</x:v>
      </x:c>
      <x:c r="D24" s="137" t="n">
        <x:f>IF(B24="专家",2,IF(B24="受训",1,0))</x:f>
        <x:v>0</x:v>
      </x:c>
      <x:c r="E24" s="58" t="str">
        <x:v>学识／感知</x:v>
      </x:c>
      <x:c r="F24" s="58" t="str">
        <x:v>急救、诊断、药理</x:v>
      </x:c>
      <x:c r="G24" s="247"/>
      <x:c r="H24" s="247"/>
      <x:c r="I24" s="247"/>
      <x:c r="J24" s="247"/>
      <x:c r="K24" s="247"/>
      <x:c r="L24" s="247"/>
      <x:c r="M24" s="247"/>
      <x:c r="N24" s="247"/>
    </x:row>
    <x:row r="25" ht="25" customHeight="1">
      <x:c r="A25" s="58" t="str">
        <x:v>魔术</x:v>
      </x:c>
      <x:c r="B25" s="127" t="str">
        <x:v>专家</x:v>
      </x:c>
      <x:c r="C25" s="137" t="n">
        <x:f>IF(B25="专家",4,IF(B25="受训",2,0))</x:f>
        <x:v>4</x:v>
      </x:c>
      <x:c r="D25" s="137" t="n">
        <x:f>IF(B25="专家",2,IF(B25="受训",1,0))</x:f>
        <x:v>2</x:v>
      </x:c>
      <x:c r="E25" s="58" t="str">
        <x:v>魔力／学识</x:v>
      </x:c>
      <x:c r="F25" s="58" t="str">
        <x:v>施术、识别、反制、灵脉</x:v>
      </x:c>
      <x:c r="G25" s="247"/>
      <x:c r="H25" s="247"/>
      <x:c r="I25" s="247"/>
      <x:c r="J25" s="247"/>
      <x:c r="K25" s="247"/>
      <x:c r="L25" s="247"/>
      <x:c r="M25" s="247"/>
      <x:c r="N25" s="247"/>
    </x:row>
    <x:row r="26" ht="25" customHeight="1">
      <x:c r="A26" s="58" t="str">
        <x:v>交涉</x:v>
      </x:c>
      <x:c r="B26" s="127" t="str">
        <x:v>受训</x:v>
      </x:c>
      <x:c r="C26" s="137" t="n">
        <x:f>IF(B26="专家",4,IF(B26="受训",2,0))</x:f>
        <x:v>2</x:v>
      </x:c>
      <x:c r="D26" s="137" t="n">
        <x:f>IF(B26="专家",2,IF(B26="受训",1,0))</x:f>
        <x:v>1</x:v>
      </x:c>
      <x:c r="E26" s="58" t="str">
        <x:v>意志／感知／学识</x:v>
      </x:c>
      <x:c r="F26" s="58" t="str">
        <x:v>说服、安抚、欺骗、威慑</x:v>
      </x:c>
      <x:c r="G26" s="247"/>
      <x:c r="H26" s="247"/>
      <x:c r="I26" s="247"/>
      <x:c r="J26" s="247"/>
      <x:c r="K26" s="247"/>
      <x:c r="L26" s="247"/>
      <x:c r="M26" s="247"/>
      <x:c r="N26" s="247"/>
    </x:row>
    <x:row r="27" ht="25" customHeight="1">
      <x:c r="A27" s="58" t="str">
        <x:v>指挥</x:v>
      </x:c>
      <x:c r="B27" s="127" t="str">
        <x:v>未受训</x:v>
      </x:c>
      <x:c r="C27" s="137" t="n">
        <x:f>IF(B27="专家",4,IF(B27="受训",2,0))</x:f>
        <x:v>0</x:v>
      </x:c>
      <x:c r="D27" s="137" t="n">
        <x:f>IF(B27="专家",2,IF(B27="受训",1,0))</x:f>
        <x:v>0</x:v>
      </x:c>
      <x:c r="E27" s="58" t="str">
        <x:v>意志／学识</x:v>
      </x:c>
      <x:c r="F27" s="58" t="str">
        <x:v>调度、协同、御主支援</x:v>
      </x:c>
      <x:c r="G27" s="247"/>
      <x:c r="H27" s="247"/>
      <x:c r="I27" s="247"/>
      <x:c r="J27" s="247"/>
      <x:c r="K27" s="247"/>
      <x:c r="L27" s="247"/>
      <x:c r="M27" s="247"/>
      <x:c r="N27" s="247"/>
    </x:row>
    <x:row r="28">
      <x:c r="A28" s="177" t="str">
        <x:v>技能点合计</x:v>
      </x:c>
      <x:c r="B28" s="177"/>
      <x:c r="C28" s="177"/>
      <x:c r="D28" s="137" t="n">
        <x:f>SUM(D16:D27)</x:f>
        <x:v>6</x:v>
      </x:c>
      <x:c r="E28" s="177" t="str">
        <x:v>专家数量</x:v>
      </x:c>
      <x:c r="F28" s="137" t="n">
        <x:f>SUM(IF(B16="专家",1,0),IF(B17="专家",1,0),IF(B18="专家",1,0),IF(B19="专家",1,0),IF(B20="专家",1,0),IF(B21="专家",1,0),IF(B22="专家",1,0),IF(B23="专家",1,0),IF(B24="专家",1,0),IF(B25="专家",1,0),IF(B26="专家",1,0),IF(B27="专家",1,0))</x:f>
        <x:v>1</x:v>
      </x:c>
      <x:c r="G28" s="247"/>
      <x:c r="H28" s="247"/>
      <x:c r="I28" s="247"/>
      <x:c r="J28" s="247"/>
      <x:c r="K28" s="247"/>
      <x:c r="L28" s="247"/>
      <x:c r="M28" s="247"/>
      <x:c r="N28" s="247"/>
    </x:row>
    <x:row r="29">
      <x:c r="A29" s="247"/>
      <x:c r="B29" s="247"/>
      <x:c r="C29" s="247"/>
      <x:c r="D29" s="247"/>
      <x:c r="E29" s="247"/>
      <x:c r="F29" s="247"/>
      <x:c r="G29" s="247"/>
      <x:c r="H29" s="247"/>
      <x:c r="I29" s="247"/>
      <x:c r="J29" s="247"/>
      <x:c r="K29" s="247"/>
      <x:c r="L29" s="247"/>
      <x:c r="M29" s="247"/>
      <x:c r="N29" s="247"/>
    </x:row>
    <x:row r="30">
      <x:c r="A30" s="247"/>
      <x:c r="B30" s="247"/>
      <x:c r="C30" s="247"/>
      <x:c r="D30" s="247"/>
      <x:c r="E30" s="247"/>
      <x:c r="F30" s="247"/>
      <x:c r="G30" s="247"/>
      <x:c r="H30" s="247"/>
      <x:c r="I30" s="247"/>
      <x:c r="J30" s="247"/>
      <x:c r="K30" s="247"/>
      <x:c r="L30" s="247"/>
      <x:c r="M30" s="247"/>
      <x:c r="N30" s="247"/>
    </x:row>
    <x:row r="31" ht="24" customHeight="1">
      <x:c r="A31" s="193" t="str">
        <x:v>四项起始术式｜选择后自动预览</x:v>
      </x:c>
      <x:c r="B31" s="194"/>
      <x:c r="C31" s="194"/>
      <x:c r="D31" s="194"/>
      <x:c r="E31" s="194"/>
      <x:c r="F31" s="194"/>
      <x:c r="G31" s="194"/>
      <x:c r="H31" s="194"/>
      <x:c r="I31" s="194"/>
      <x:c r="J31" s="194"/>
      <x:c r="K31" s="194"/>
      <x:c r="L31" s="194"/>
      <x:c r="M31" s="194"/>
      <x:c r="N31" s="195"/>
    </x:row>
    <x:row r="32">
      <x:c r="A32" s="247"/>
      <x:c r="B32" s="247"/>
      <x:c r="C32" s="247"/>
      <x:c r="D32" s="247"/>
      <x:c r="E32" s="247"/>
      <x:c r="F32" s="247"/>
      <x:c r="G32" s="247"/>
      <x:c r="H32" s="247"/>
      <x:c r="I32" s="247"/>
      <x:c r="J32" s="247"/>
      <x:c r="K32" s="247"/>
      <x:c r="L32" s="247"/>
      <x:c r="M32" s="247"/>
      <x:c r="N32" s="247"/>
    </x:row>
    <x:row r="33">
      <x:c r="A33" s="131" t="str">
        <x:v>术式1</x:v>
      </x:c>
      <x:c r="B33" s="127" t="str">
        <x:v>魔力警戒</x:v>
      </x:c>
      <x:c r="C33" s="127"/>
      <x:c r="D33" s="127"/>
      <x:c r="E33" s="137" t="str">
        <x:f>IFERROR(VLOOKUP(B33,'术式书'!$A$8:$K$61,2,FALSE),"")</x:f>
        <x:v>结界系谱</x:v>
      </x:c>
      <x:c r="F33" s="137" t="str">
        <x:f>IFERROR(VLOOKUP(B33,'术式书'!$A$8:$K$61,3,FALSE),"")</x:f>
        <x:v>零阶</x:v>
      </x:c>
      <x:c r="G33" s="137" t="n">
        <x:f>IFERROR(VLOOKUP(B33,'术式书'!$A$8:$K$61,4,FALSE),0)</x:f>
        <x:v>0</x:v>
      </x:c>
      <x:c r="H33" s="137" t="str">
        <x:f>IFERROR(VLOOKUP(B33,'术式书'!$A$8:$K$61,5,FALSE),"")</x:f>
        <x:v>仪式 1 分钟</x:v>
      </x:c>
      <x:c r="I33" s="137"/>
      <x:c r="J33" s="137" t="str">
        <x:f>IFERROR(VLOOKUP(B33,'术式书'!$A$8:$K$61,6,FALSE),"")</x:f>
        <x:v>0 MP</x:v>
      </x:c>
      <x:c r="K33" s="137" t="n">
        <x:f>IFERROR(VLOOKUP(B33,'术式书'!$A$8:$K$61,7,FALSE),"")</x:f>
        <x:v>0</x:v>
      </x:c>
      <x:c r="L33" s="137" t="str">
        <x:f>IFERROR(VLOOKUP(B33,'术式书'!$A$8:$K$61,8,FALSE),"")</x:f>
        <x:v>调查／支援</x:v>
      </x:c>
      <x:c r="M33" s="137"/>
      <x:c r="N33" s="137"/>
    </x:row>
    <x:row r="34" ht="32" customHeight="1">
      <x:c r="A34" s="131" t="str">
        <x:v>效果／反制</x:v>
      </x:c>
      <x:c r="B34" s="139" t="str">
        <x:f>IFERROR(VLOOKUP(B33,'术式书'!$A$8:$K$61,11,FALSE),"")</x:f>
        <x:v>一个房间或近距区域；不掷骰。放置一枚警戒印，神秘进入时向施术者示警。印记可被侦查发现并物理破坏。</x:v>
      </x:c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</x:row>
    <x:row r="35" ht="32" customHeight="1">
      <x:c r="A35" s="247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</x:row>
    <x:row r="36">
      <x:c r="A36" s="247"/>
      <x:c r="B36" s="247"/>
      <x:c r="C36" s="247"/>
      <x:c r="D36" s="247"/>
      <x:c r="E36" s="247"/>
      <x:c r="F36" s="247"/>
      <x:c r="G36" s="247"/>
      <x:c r="H36" s="247"/>
      <x:c r="I36" s="247"/>
      <x:c r="J36" s="247"/>
      <x:c r="K36" s="247"/>
      <x:c r="L36" s="247"/>
      <x:c r="M36" s="247"/>
      <x:c r="N36" s="247"/>
    </x:row>
    <x:row r="37">
      <x:c r="A37" s="131" t="str">
        <x:v>术式2</x:v>
      </x:c>
      <x:c r="B37" s="127" t="str">
        <x:v>偏转盾</x:v>
      </x:c>
      <x:c r="C37" s="127"/>
      <x:c r="D37" s="127"/>
      <x:c r="E37" s="137" t="str">
        <x:f>IFERROR(VLOOKUP(B37,'术式书'!$A$8:$K$61,2,FALSE),"")</x:f>
        <x:v>结界系谱</x:v>
      </x:c>
      <x:c r="F37" s="137" t="str">
        <x:f>IFERROR(VLOOKUP(B37,'术式书'!$A$8:$K$61,3,FALSE),"")</x:f>
        <x:v>一阶</x:v>
      </x:c>
      <x:c r="G37" s="137" t="n">
        <x:f>IFERROR(VLOOKUP(B37,'术式书'!$A$8:$K$61,4,FALSE),0)</x:f>
        <x:v>1</x:v>
      </x:c>
      <x:c r="H37" s="137" t="str">
        <x:f>IFERROR(VLOOKUP(B37,'术式书'!$A$8:$K$61,5,FALSE),"")</x:f>
        <x:v>反应</x:v>
      </x:c>
      <x:c r="I37" s="137"/>
      <x:c r="J37" s="137" t="str">
        <x:f>IFERROR(VLOOKUP(B37,'术式书'!$A$8:$K$61,6,FALSE),"")</x:f>
        <x:v>1 MP</x:v>
      </x:c>
      <x:c r="K37" s="137" t="n">
        <x:f>IFERROR(VLOOKUP(B37,'术式书'!$A$8:$K$61,7,FALSE),"")</x:f>
        <x:v>10</x:v>
      </x:c>
      <x:c r="L37" s="137" t="str">
        <x:f>IFERROR(VLOOKUP(B37,'术式书'!$A$8:$K$61,8,FALSE),"")</x:f>
        <x:v>防御／撤退</x:v>
      </x:c>
      <x:c r="M37" s="137"/>
      <x:c r="N37" s="137"/>
    </x:row>
    <x:row r="38" ht="32" customHeight="1">
      <x:c r="A38" s="131" t="str">
        <x:v>效果／反制</x:v>
      </x:c>
      <x:c r="B38" s="139" t="str">
        <x:f>IFERROR(VLOOKUP(B37,'术式书'!$A$8:$K$61,11,FALSE),"")</x:f>
        <x:v>自己或接触盟友被命中时使用；伤害 -2。大成功无额外收益；每轮一次，破甲效果仍会生效。</x:v>
      </x:c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</x:row>
    <x:row r="39" ht="32" customHeight="1">
      <x:c r="A39" s="247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</x:row>
    <x:row r="40">
      <x:c r="A40" s="247"/>
      <x:c r="B40" s="247"/>
      <x:c r="C40" s="247"/>
      <x:c r="D40" s="247"/>
      <x:c r="E40" s="247"/>
      <x:c r="F40" s="247"/>
      <x:c r="G40" s="247"/>
      <x:c r="H40" s="247"/>
      <x:c r="I40" s="247"/>
      <x:c r="J40" s="247"/>
      <x:c r="K40" s="247"/>
      <x:c r="L40" s="247"/>
      <x:c r="M40" s="247"/>
      <x:c r="N40" s="247"/>
    </x:row>
    <x:row r="41">
      <x:c r="A41" s="131" t="str">
        <x:v>术式3</x:v>
      </x:c>
      <x:c r="B41" s="127" t="str">
        <x:v>短距跃迁</x:v>
      </x:c>
      <x:c r="C41" s="127"/>
      <x:c r="D41" s="127"/>
      <x:c r="E41" s="137" t="str">
        <x:f>IFERROR(VLOOKUP(B41,'术式书'!$A$8:$K$61,2,FALSE),"")</x:f>
        <x:v>灵脉系谱</x:v>
      </x:c>
      <x:c r="F41" s="137" t="str">
        <x:f>IFERROR(VLOOKUP(B41,'术式书'!$A$8:$K$61,3,FALSE),"")</x:f>
        <x:v>二阶</x:v>
      </x:c>
      <x:c r="G41" s="137" t="n">
        <x:f>IFERROR(VLOOKUP(B41,'术式书'!$A$8:$K$61,4,FALSE),0)</x:f>
        <x:v>2</x:v>
      </x:c>
      <x:c r="H41" s="137" t="str">
        <x:f>IFERROR(VLOOKUP(B41,'术式书'!$A$8:$K$61,5,FALSE),"")</x:f>
        <x:v>次要</x:v>
      </x:c>
      <x:c r="I41" s="137"/>
      <x:c r="J41" s="137" t="str">
        <x:f>IFERROR(VLOOKUP(B41,'术式书'!$A$8:$K$61,6,FALSE),"")</x:f>
        <x:v>2 MP</x:v>
      </x:c>
      <x:c r="K41" s="137" t="n">
        <x:f>IFERROR(VLOOKUP(B41,'术式书'!$A$8:$K$61,7,FALSE),"")</x:f>
        <x:v>13</x:v>
      </x:c>
      <x:c r="L41" s="137" t="str">
        <x:f>IFERROR(VLOOKUP(B41,'术式书'!$A$8:$K$61,8,FALSE),"")</x:f>
        <x:v>防御／撤退</x:v>
      </x:c>
      <x:c r="M41" s="137"/>
      <x:c r="N41" s="137"/>
    </x:row>
    <x:row r="42" ht="32" customHeight="1">
      <x:c r="A42" s="131" t="str">
        <x:v>效果／反制</x:v>
      </x:c>
      <x:c r="B42" s="139" t="str">
        <x:f>IFERROR(VLOOKUP(B41,'术式书'!$A$8:$K$61,11,FALSE),"")</x:f>
        <x:v>移动到视线内近距位置并忽略借机攻击；携带另一人需其愿意且再付 1 MP。空间封锁可阻止。</x:v>
      </x:c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</x:row>
    <x:row r="43" ht="32" customHeight="1">
      <x:c r="A43" s="247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</x:row>
    <x:row r="44">
      <x:c r="A44" s="247"/>
      <x:c r="B44" s="247"/>
      <x:c r="C44" s="247"/>
      <x:c r="D44" s="247"/>
      <x:c r="E44" s="247"/>
      <x:c r="F44" s="247"/>
      <x:c r="G44" s="247"/>
      <x:c r="H44" s="247"/>
      <x:c r="I44" s="247"/>
      <x:c r="J44" s="247"/>
      <x:c r="K44" s="247"/>
      <x:c r="L44" s="247"/>
      <x:c r="M44" s="247"/>
      <x:c r="N44" s="247"/>
    </x:row>
    <x:row r="45">
      <x:c r="A45" s="131" t="str">
        <x:v>术式4</x:v>
      </x:c>
      <x:c r="B45" s="127" t="str">
        <x:v>封锁通路</x:v>
      </x:c>
      <x:c r="C45" s="127"/>
      <x:c r="D45" s="127"/>
      <x:c r="E45" s="137" t="str">
        <x:f>IFERROR(VLOOKUP(B45,'术式书'!$A$8:$K$61,2,FALSE),"")</x:f>
        <x:v>灵脉系谱</x:v>
      </x:c>
      <x:c r="F45" s="137" t="str">
        <x:f>IFERROR(VLOOKUP(B45,'术式书'!$A$8:$K$61,3,FALSE),"")</x:f>
        <x:v>四阶</x:v>
      </x:c>
      <x:c r="G45" s="137" t="n">
        <x:f>IFERROR(VLOOKUP(B45,'术式书'!$A$8:$K$61,4,FALSE),0)</x:f>
        <x:v>4</x:v>
      </x:c>
      <x:c r="H45" s="137" t="str">
        <x:f>IFERROR(VLOOKUP(B45,'术式书'!$A$8:$K$61,5,FALSE),"")</x:f>
        <x:v>仪式</x:v>
      </x:c>
      <x:c r="I45" s="137"/>
      <x:c r="J45" s="137" t="str">
        <x:f>IFERROR(VLOOKUP(B45,'术式书'!$A$8:$K$61,6,FALSE),"")</x:f>
        <x:v>6+ MP</x:v>
      </x:c>
      <x:c r="K45" s="137" t="n">
        <x:f>IFERROR(VLOOKUP(B45,'术式书'!$A$8:$K$61,7,FALSE),"")</x:f>
        <x:v>19</x:v>
      </x:c>
      <x:c r="L45" s="137" t="str">
        <x:f>IFERROR(VLOOKUP(B45,'术式书'!$A$8:$K$61,8,FALSE),"")</x:f>
        <x:v>防御／撤退</x:v>
      </x:c>
      <x:c r="M45" s="137"/>
      <x:c r="N45" s="137"/>
    </x:row>
    <x:row r="46" ht="32" customHeight="1">
      <x:c r="A46" s="131" t="str">
        <x:v>效果／反制</x:v>
      </x:c>
      <x:c r="B46" s="139" t="str">
        <x:f>IFERROR(VLOOKUP(B45,'术式书'!$A$8:$K$61,11,FALSE),"")</x:f>
        <x:v>一个距离带内的传送、灵体化与跨界移动需通过精神或魔术 DC19。摧毁核心、同阶反制或概念通行权可绕过。</x:v>
      </x:c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</x:row>
    <x:row r="47" ht="32" customHeight="1">
      <x:c r="A47" s="247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</x:row>
    <x:row r="48">
      <x:c r="A48" s="247"/>
      <x:c r="B48" s="247"/>
      <x:c r="C48" s="247"/>
      <x:c r="D48" s="247"/>
      <x:c r="E48" s="247"/>
      <x:c r="F48" s="247"/>
      <x:c r="G48" s="247"/>
      <x:c r="H48" s="247"/>
      <x:c r="I48" s="247"/>
      <x:c r="J48" s="247"/>
      <x:c r="K48" s="247"/>
      <x:c r="L48" s="247"/>
      <x:c r="M48" s="247"/>
      <x:c r="N48" s="247"/>
    </x:row>
    <x:row r="49">
      <x:c r="A49" s="205" t="str">
        <x:v>术式预算：阶位和＋每项跨系谱税1；须4项不重复、总和≤9、四阶≤1、含非战斗与防御／撤退。</x:v>
      </x:c>
      <x:c r="B49" s="206"/>
      <x:c r="C49" s="206"/>
      <x:c r="D49" s="206"/>
      <x:c r="E49" s="206"/>
      <x:c r="F49" s="206"/>
      <x:c r="G49" s="206"/>
      <x:c r="H49" s="206"/>
      <x:c r="I49" s="206"/>
      <x:c r="J49" s="207"/>
      <x:c r="K49" s="131" t="str">
        <x:v>检查</x:v>
      </x:c>
      <x:c r="L49" s="131" t="str">
        <x:v>结果</x:v>
      </x:c>
      <x:c r="M49" s="131" t="str">
        <x:v>限制</x:v>
      </x:c>
      <x:c r="N49" s="131" t="str">
        <x:v>状态</x:v>
      </x:c>
    </x:row>
    <x:row r="50">
      <x:c r="A50" s="247"/>
      <x:c r="B50" s="247"/>
      <x:c r="C50" s="247"/>
      <x:c r="D50" s="247"/>
      <x:c r="E50" s="247"/>
      <x:c r="F50" s="247"/>
      <x:c r="G50" s="247"/>
      <x:c r="H50" s="247"/>
      <x:c r="I50" s="247"/>
      <x:c r="J50" s="247"/>
      <x:c r="K50" s="26" t="str">
        <x:v>选择数量</x:v>
      </x:c>
      <x:c r="L50" s="137" t="n">
        <x:f>COUNTA(B33,B37,B41,B45)</x:f>
        <x:v>4</x:v>
      </x:c>
      <x:c r="M50" s="26" t="n">
        <x:f>4</x:f>
        <x:v>4</x:v>
      </x:c>
      <x:c r="N50" s="137" t="str">
        <x:f>IF(L50=4,"通过","不合法")</x:f>
        <x:v>通过</x:v>
      </x:c>
    </x:row>
    <x:row r="51">
      <x:c r="A51" s="247"/>
      <x:c r="B51" s="247"/>
      <x:c r="C51" s="247"/>
      <x:c r="D51" s="247"/>
      <x:c r="E51" s="247"/>
      <x:c r="F51" s="247"/>
      <x:c r="G51" s="247"/>
      <x:c r="H51" s="247"/>
      <x:c r="I51" s="247"/>
      <x:c r="J51" s="247"/>
      <x:c r="K51" s="26" t="str">
        <x:v>阶位＋跨系税</x:v>
      </x:c>
      <x:c r="L51" s="137" t="n">
        <x:f>SUM(G33,G37,G41,G45)+IF(AND(E33&lt;&gt;$B$7,E33&lt;&gt;$B$8),1,0)+IF(AND(E37&lt;&gt;$B$7,E37&lt;&gt;$B$8),1,0)+IF(AND(E41&lt;&gt;$B$7,E41&lt;&gt;$B$8),1,0)+IF(AND(E45&lt;&gt;$B$7,E45&lt;&gt;$B$8),1,0)</x:f>
        <x:v>7</x:v>
      </x:c>
      <x:c r="M51" s="26" t="str">
        <x:v>≤9；四阶≤1</x:v>
      </x:c>
      <x:c r="N51" s="137" t="str">
        <x:f>IF(AND(L51&lt;=9,IF(G33=4,1,0)+IF(G37=4,1,0)+IF(G41=4,1,0)+IF(G45=4,1,0)&lt;=1),"通过","超限")</x:f>
        <x:v>通过</x:v>
      </x:c>
    </x:row>
    <x:row r="52">
      <x:c r="A52" s="247"/>
      <x:c r="B52" s="247"/>
      <x:c r="C52" s="247"/>
      <x:c r="D52" s="247"/>
      <x:c r="E52" s="247"/>
      <x:c r="F52" s="247"/>
      <x:c r="G52" s="247"/>
      <x:c r="H52" s="247"/>
      <x:c r="I52" s="247"/>
      <x:c r="J52" s="247"/>
      <x:c r="K52" s="26" t="str">
        <x:v>功能与重复</x:v>
      </x:c>
      <x:c r="L52" s="137" t="str">
        <x:f>IF(AND(SUM(IFERROR(VLOOKUP(B33,'术式书'!$A$8:$K$61,9,FALSE),0),IFERROR(VLOOKUP(B37,'术式书'!$A$8:$K$61,9,FALSE),0),IFERROR(VLOOKUP(B41,'术式书'!$A$8:$K$61,9,FALSE),0),IFERROR(VLOOKUP(B45,'术式书'!$A$8:$K$61,9,FALSE),0))&gt;=1,SUM(IFERROR(VLOOKUP(B33,'术式书'!$A$8:$K$61,10,FALSE),0),IFERROR(VLOOKUP(B37,'术式书'!$A$8:$K$61,10,FALSE),0),IFERROR(VLOOKUP(B41,'术式书'!$A$8:$K$61,10,FALSE),0),IFERROR(VLOOKUP(B45,'术式书'!$A$8:$K$61,10,FALSE),0))&gt;=1,NOT(OR(AND(B33&lt;&gt;"",B33=B37),AND(B33&lt;&gt;"",B33=B41),AND(B33&lt;&gt;"",B33=B45),AND(B37&lt;&gt;"",B37=B41),AND(B37&lt;&gt;"",B37=B45),AND(B41&lt;&gt;"",B41=B45)))),"通过","不合法")</x:f>
        <x:v>通过</x:v>
      </x:c>
      <x:c r="M52" s="26" t="str">
        <x:v>覆盖且无重复</x:v>
      </x:c>
      <x:c r="N52" s="137" t="str">
        <x:f>L52</x:f>
        <x:v>通过</x:v>
      </x:c>
    </x:row>
    <x:row r="53">
      <x:c r="A53" s="247"/>
      <x:c r="B53" s="247"/>
      <x:c r="C53" s="247"/>
      <x:c r="D53" s="247"/>
      <x:c r="E53" s="247"/>
      <x:c r="F53" s="247"/>
      <x:c r="G53" s="247"/>
      <x:c r="H53" s="247"/>
      <x:c r="I53" s="247"/>
      <x:c r="J53" s="247"/>
      <x:c r="K53" s="247"/>
      <x:c r="L53" s="247"/>
      <x:c r="M53" s="247"/>
      <x:c r="N53" s="247"/>
    </x:row>
    <x:row r="54">
      <x:c r="A54" s="247"/>
      <x:c r="B54" s="247"/>
      <x:c r="C54" s="247"/>
      <x:c r="D54" s="247"/>
      <x:c r="E54" s="247"/>
      <x:c r="F54" s="247"/>
      <x:c r="G54" s="247"/>
      <x:c r="H54" s="247"/>
      <x:c r="I54" s="247"/>
      <x:c r="J54" s="247"/>
      <x:c r="K54" s="247"/>
      <x:c r="L54" s="247"/>
      <x:c r="M54" s="247"/>
      <x:c r="N54" s="247"/>
    </x:row>
    <x:row r="55" ht="24" customHeight="1">
      <x:c r="A55" s="50" t="str">
        <x:v>起始魔术礼装｜完整预览</x:v>
      </x:c>
      <x:c r="B55" s="51"/>
      <x:c r="C55" s="51"/>
      <x:c r="D55" s="51"/>
      <x:c r="E55" s="51"/>
      <x:c r="F55" s="51"/>
      <x:c r="G55" s="51"/>
      <x:c r="H55" s="51"/>
      <x:c r="I55" s="51"/>
      <x:c r="J55" s="51"/>
      <x:c r="K55" s="51"/>
      <x:c r="L55" s="51"/>
      <x:c r="M55" s="51"/>
      <x:c r="N55" s="52"/>
    </x:row>
    <x:row r="56">
      <x:c r="A56" s="56" t="str">
        <x:v>礼装</x:v>
      </x:c>
      <x:c r="B56" s="127" t="str">
        <x:v>折叠式阵盘</x:v>
      </x:c>
      <x:c r="C56" s="127"/>
      <x:c r="D56" s="127"/>
      <x:c r="E56" s="56" t="str">
        <x:v>类别</x:v>
      </x:c>
      <x:c r="F56" s="139" t="str">
        <x:f>IFERROR(VLOOKUP(B56,'魔术礼装'!$A$8:$J$39,2,FALSE),"")</x:f>
        <x:v>仪式与工房</x:v>
      </x:c>
      <x:c r="G56" s="139"/>
      <x:c r="H56" s="139"/>
      <x:c r="I56" s="56" t="str">
        <x:v>等级</x:v>
      </x:c>
      <x:c r="J56" s="137" t="str">
        <x:f>IFERROR(VLOOKUP(B56,'魔术礼装'!$A$8:$J$39,3,FALSE),"")</x:f>
        <x:v>常规</x:v>
      </x:c>
      <x:c r="K56" s="56" t="str">
        <x:v>起始权限</x:v>
      </x:c>
      <x:c r="L56" s="139" t="str">
        <x:f>IFERROR(VLOOKUP(B56,'魔术礼装'!$A$8:$J$39,6,FALSE),"")</x:f>
        <x:v>可直接选择</x:v>
      </x:c>
      <x:c r="M56" s="139"/>
      <x:c r="N56" s="139"/>
    </x:row>
    <x:row r="57">
      <x:c r="A57" s="56" t="str">
        <x:v>效果</x:v>
      </x:c>
      <x:c r="B57" s="139" t="str">
        <x:f>IFERROR(VLOOKUP(B56,'魔术礼装'!$A$8:$J$39,9,FALSE),"")</x:f>
        <x:v>展开 10 分钟后，四阶仪式少一种准备需求。</x:v>
      </x:c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</x:row>
    <x:row r="58">
      <x:c r="A58" s="247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</x:row>
    <x:row r="59">
      <x:c r="A59" s="56" t="str">
        <x:v>限制／反制</x:v>
      </x:c>
      <x:c r="B59" s="139" t="str">
        <x:f>IFERROR(VLOOKUP(B56,'魔术礼装'!$A$8:$J$39,10,FALSE),"")</x:f>
        <x:v>展开后不能移动；破坏四角之一即可中断。</x:v>
      </x:c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7" t="str">
        <x:f>IF(OR(J56="常规",J56="精良"),"通过",IF(AND(J56="传承",B10&lt;&gt;""),"需确认","不合法"))</x:f>
        <x:v>通过</x:v>
      </x:c>
    </x:row>
    <x:row r="60">
      <x:c r="A60" s="247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7"/>
    </x:row>
  </x:sheetData>
  <x:mergeCells>
    <x:mergeCell ref="A1:N1"/>
    <x:mergeCell ref="A2:N2"/>
    <x:mergeCell ref="A3:D3"/>
    <x:mergeCell ref="B4:D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F12:H12"/>
    <x:mergeCell ref="K3:N3"/>
    <x:mergeCell ref="A28:C28"/>
    <x:mergeCell ref="A31:N31"/>
    <x:mergeCell ref="B33:D33"/>
    <x:mergeCell ref="H33:I33"/>
    <x:mergeCell ref="L33:N33"/>
    <x:mergeCell ref="B34:N35"/>
    <x:mergeCell ref="B37:D37"/>
    <x:mergeCell ref="H37:I37"/>
    <x:mergeCell ref="L37:N37"/>
    <x:mergeCell ref="B38:N39"/>
    <x:mergeCell ref="B41:D41"/>
    <x:mergeCell ref="H41:I41"/>
    <x:mergeCell ref="L41:N41"/>
    <x:mergeCell ref="B42:N43"/>
    <x:mergeCell ref="B45:D45"/>
    <x:mergeCell ref="H45:I45"/>
    <x:mergeCell ref="L45:N45"/>
    <x:mergeCell ref="B46:N47"/>
    <x:mergeCell ref="A49:J49"/>
    <x:mergeCell ref="A55:N55"/>
    <x:mergeCell ref="B56:D56"/>
    <x:mergeCell ref="F56:H56"/>
    <x:mergeCell ref="L56:N56"/>
    <x:mergeCell ref="B57:N58"/>
    <x:mergeCell ref="B59:M60"/>
    <x:mergeCell ref="N59:N60"/>
  </x:mergeCells>
  <x:conditionalFormatting sqref="N5:N13">
    <x:cfRule type="containsText" dxfId="28" priority="1" operator="containsText" text="合法"/>
    <x:cfRule type="containsText" dxfId="29" priority="2" operator="containsText" text="通过"/>
    <x:cfRule type="containsText" dxfId="30" priority="3" operator="containsText" text="需要"/>
    <x:cfRule type="containsText" dxfId="31" priority="4" operator="containsText" text="确认"/>
    <x:cfRule type="containsText" dxfId="32" priority="5" operator="containsText" text="错误"/>
    <x:cfRule type="containsText" dxfId="33" priority="6" operator="containsText" text="不合法"/>
    <x:cfRule type="containsText" dxfId="34" priority="7" operator="containsText" text="超限"/>
  </x:conditionalFormatting>
  <x:conditionalFormatting sqref="L13:L13">
    <x:cfRule type="containsText" dxfId="35" priority="8" operator="containsText" text="合法"/>
    <x:cfRule type="containsText" dxfId="36" priority="9" operator="containsText" text="通过"/>
    <x:cfRule type="containsText" dxfId="37" priority="10" operator="containsText" text="需要"/>
    <x:cfRule type="containsText" dxfId="38" priority="11" operator="containsText" text="确认"/>
    <x:cfRule type="containsText" dxfId="39" priority="12" operator="containsText" text="错误"/>
    <x:cfRule type="containsText" dxfId="40" priority="13" operator="containsText" text="不合法"/>
    <x:cfRule type="containsText" dxfId="41" priority="14" operator="containsText" text="超限"/>
  </x:conditionalFormatting>
  <x:conditionalFormatting sqref="N50:N52">
    <x:cfRule type="containsText" dxfId="42" priority="15" operator="containsText" text="合法"/>
    <x:cfRule type="containsText" dxfId="43" priority="16" operator="containsText" text="通过"/>
    <x:cfRule type="containsText" dxfId="44" priority="17" operator="containsText" text="需要"/>
    <x:cfRule type="containsText" dxfId="45" priority="18" operator="containsText" text="确认"/>
    <x:cfRule type="containsText" dxfId="46" priority="19" operator="containsText" text="错误"/>
    <x:cfRule type="containsText" dxfId="47" priority="20" operator="containsText" text="不合法"/>
    <x:cfRule type="containsText" dxfId="48" priority="21" operator="containsText" text="超限"/>
  </x:conditionalFormatting>
  <x:conditionalFormatting sqref="N59:N60">
    <x:cfRule type="containsText" dxfId="49" priority="22" operator="containsText" text="合法"/>
    <x:cfRule type="containsText" dxfId="50" priority="23" operator="containsText" text="通过"/>
    <x:cfRule type="containsText" dxfId="51" priority="24" operator="containsText" text="需要"/>
    <x:cfRule type="containsText" dxfId="52" priority="25" operator="containsText" text="确认"/>
    <x:cfRule type="containsText" dxfId="53" priority="26" operator="containsText" text="错误"/>
    <x:cfRule type="containsText" dxfId="54" priority="27" operator="containsText" text="不合法"/>
    <x:cfRule type="containsText" dxfId="55" priority="28" operator="containsText" text="超限"/>
  </x:conditionalFormatting>
  <x:dataValidations count="9">
    <x:dataValidation type="list" sqref="B7:D7">
      <x:formula1>'规则数据'!$X$4:$X$12</x:formula1>
    </x:dataValidation>
    <x:dataValidation type="list" sqref="B8:D8">
      <x:formula1>'规则数据'!$X$4:$X$12</x:formula1>
    </x:dataValidation>
    <x:dataValidation type="list" sqref="G5:G11">
      <x:formula1>"E,D,C,B,A"</x:formula1>
    </x:dataValidation>
    <x:dataValidation type="list" sqref="B16:B27">
      <x:formula1>"未受训,受训,专家"</x:formula1>
    </x:dataValidation>
    <x:dataValidation type="list" sqref="B33:D33">
      <x:formula1>'术式书'!$A$8:$A$61</x:formula1>
    </x:dataValidation>
    <x:dataValidation type="list" sqref="B37:D37">
      <x:formula1>'术式书'!$A$8:$A$61</x:formula1>
    </x:dataValidation>
    <x:dataValidation type="list" sqref="B41:D41">
      <x:formula1>'术式书'!$A$8:$A$61</x:formula1>
    </x:dataValidation>
    <x:dataValidation type="list" sqref="B45:D45">
      <x:formula1>'术式书'!$A$8:$A$61</x:formula1>
    </x:dataValidation>
    <x:dataValidation type="list" sqref="B56:D56">
      <x:formula1>'魔术礼装'!$A$8:$A$39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18" hidden="0" customWidth="1"/>
    <x:col min="7" max="7" width="11" hidden="0" customWidth="1"/>
    <x:col min="8" max="8" width="11" hidden="0" customWidth="1"/>
    <x:col min="9" max="9" width="11" hidden="0" customWidth="1"/>
    <x:col min="10" max="10" width="10" hidden="0" customWidth="1"/>
    <x:col min="11" max="11" width="10" hidden="0" customWidth="1"/>
    <x:col min="12" max="12" width="10" hidden="0" customWidth="1"/>
    <x:col min="13" max="13" width="11" hidden="0" customWidth="1"/>
    <x:col min="14" max="14" width="14" hidden="0" customWidth="1"/>
    <x:col min="15" max="15" width="20" hidden="0" customWidth="1"/>
    <x:col min="16" max="16" width="26" hidden="0" customWidth="1"/>
  </x:cols>
  <x:sheetData>
    <x:row r="1" ht="34" customHeight="1">
      <x:c r="A1" s="152" t="str">
        <x:v>从者｜完整构筑</x:v>
      </x:c>
      <x:c r="B1" s="152"/>
      <x:c r="C1" s="152"/>
      <x:c r="D1" s="152"/>
      <x:c r="E1" s="152"/>
      <x:c r="F1" s="152"/>
      <x:c r="G1" s="152"/>
      <x:c r="H1" s="152"/>
      <x:c r="I1" s="152"/>
      <x:c r="J1" s="152"/>
      <x:c r="K1" s="152"/>
      <x:c r="L1" s="152"/>
      <x:c r="M1" s="152"/>
      <x:c r="N1" s="152"/>
      <x:c r="O1" s="152"/>
      <x:c r="P1" s="152"/>
    </x:row>
    <x:row r="2" ht="22" customHeight="1">
      <x:c r="A2" s="155" t="str">
        <x:v>职阶推荐不增加预算；硬性容器修正、幸运、保有技能、宝具与相性全部联动。</x:v>
      </x:c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5"/>
      <x:c r="P2" s="155"/>
    </x:row>
    <x:row r="3" ht="24" customHeight="1">
      <x:c r="A3" s="82" t="str">
        <x:v>传说与容器</x:v>
      </x:c>
      <x:c r="B3" s="83"/>
      <x:c r="C3" s="83"/>
      <x:c r="D3" s="84"/>
      <x:c r="E3" s="247"/>
      <x:c r="F3" s="247"/>
      <x:c r="G3" s="247"/>
      <x:c r="H3" s="247"/>
      <x:c r="I3" s="247"/>
      <x:c r="J3" s="247"/>
      <x:c r="K3" s="247"/>
      <x:c r="L3" s="247"/>
      <x:c r="M3" s="247"/>
      <x:c r="N3" s="82" t="str">
        <x:v>Fate六参数｜自动换算</x:v>
      </x:c>
      <x:c r="O3" s="83"/>
      <x:c r="P3" s="84"/>
    </x:row>
    <x:row r="4">
      <x:c r="A4" s="58" t="str">
        <x:v>玩家</x:v>
      </x:c>
      <x:c r="B4" s="127" t="str">
        <x:v>玩家</x:v>
      </x:c>
      <x:c r="C4" s="127"/>
      <x:c r="D4" s="127"/>
      <x:c r="E4" s="247"/>
      <x:c r="F4" s="88" t="str">
        <x:v>规则属性</x:v>
      </x:c>
      <x:c r="G4" s="88" t="str">
        <x:v>自定义阶位</x:v>
      </x:c>
      <x:c r="H4" s="88" t="str">
        <x:v>职阶推荐</x:v>
      </x:c>
      <x:c r="I4" s="88" t="str">
        <x:v>采用基础</x:v>
      </x:c>
      <x:c r="J4" s="88" t="str">
        <x:v>点购</x:v>
      </x:c>
      <x:c r="K4" s="88" t="str">
        <x:v>容器±</x:v>
      </x:c>
      <x:c r="L4" s="88" t="str">
        <x:v>最终值</x:v>
      </x:c>
      <x:c r="M4" s="88" t="str">
        <x:v>最终阶位</x:v>
      </x:c>
      <x:c r="N4" s="88" t="str">
        <x:v>参数</x:v>
      </x:c>
      <x:c r="O4" s="88" t="str">
        <x:v>最终阶位</x:v>
      </x:c>
      <x:c r="P4" s="88" t="str">
        <x:v>规则来源</x:v>
      </x:c>
    </x:row>
    <x:row r="5">
      <x:c r="A5" s="58" t="str">
        <x:v>从者名称</x:v>
      </x:c>
      <x:c r="B5" s="127" t="str">
        <x:v>未命名从者</x:v>
      </x:c>
      <x:c r="C5" s="127"/>
      <x:c r="D5" s="127"/>
      <x:c r="E5" s="247"/>
      <x:c r="F5" s="26" t="str">
        <x:v>体魄</x:v>
      </x:c>
      <x:c r="G5" s="127" t="str">
        <x:v>D</x:v>
      </x:c>
      <x:c r="H5" s="137" t="str">
        <x:f>IFERROR(VLOOKUP(VLOOKUP($B$8,'职阶相性'!$A$9:$M$15,3,FALSE),'规则数据'!$AE$5:$AF$9,2,FALSE),"")</x:f>
        <x:v>D</x:v>
      </x:c>
      <x:c r="I5" s="137" t="str">
        <x:f>IF($B$12="职阶推荐模板",H5,G5)</x:f>
        <x:v>D</x:v>
      </x:c>
      <x:c r="J5" s="137" t="n">
        <x:f>IFERROR(VLOOKUP(I5,'规则数据'!$A$5:$D$9,3,FALSE),99)</x:f>
        <x:v>1</x:v>
      </x:c>
      <x:c r="K5" s="137" t="n">
        <x:f>IF($B$12="自由30点＋硬容器",IF($B$13=F5,1,0)-IF($B$14=F5,1,0),0)</x:f>
        <x:v>0</x:v>
      </x:c>
      <x:c r="L5" s="137" t="n">
        <x:f>IFERROR(VLOOKUP(I5,'规则数据'!$A$5:$D$9,2,FALSE),0)+K5</x:f>
        <x:v>1</x:v>
      </x:c>
      <x:c r="M5" s="137" t="str">
        <x:f>IFERROR(VLOOKUP(L5,'规则数据'!$AE$5:$AF$9,2,FALSE),"错误")</x:f>
        <x:v>D</x:v>
      </x:c>
      <x:c r="N5" s="26" t="str">
        <x:v>筋力</x:v>
      </x:c>
      <x:c r="O5" s="137" t="str">
        <x:f>M5</x:f>
        <x:v>D</x:v>
      </x:c>
      <x:c r="P5" s="26" t="str">
        <x:v>最终体魄</x:v>
      </x:c>
    </x:row>
    <x:row r="6">
      <x:c r="A6" s="58" t="str">
        <x:v>公开称谓／真名</x:v>
      </x:c>
      <x:c r="B6" s="127" t="str">
        <x:v>影之守门人</x:v>
      </x:c>
      <x:c r="C6" s="127"/>
      <x:c r="D6" s="127"/>
      <x:c r="E6" s="247"/>
      <x:c r="F6" s="26" t="str">
        <x:v>耐久</x:v>
      </x:c>
      <x:c r="G6" s="127" t="str">
        <x:v>C</x:v>
      </x:c>
      <x:c r="H6" s="137" t="str">
        <x:f>IFERROR(VLOOKUP(VLOOKUP($B$8,'职阶相性'!$A$9:$M$15,4,FALSE),'规则数据'!$AE$5:$AF$9,2,FALSE),"")</x:f>
        <x:v>D</x:v>
      </x:c>
      <x:c r="I6" s="137" t="str">
        <x:f>IF($B$12="职阶推荐模板",H6,G6)</x:f>
        <x:v>D</x:v>
      </x:c>
      <x:c r="J6" s="137" t="n">
        <x:f>IFERROR(VLOOKUP(I6,'规则数据'!$A$5:$D$9,3,FALSE),99)</x:f>
        <x:v>1</x:v>
      </x:c>
      <x:c r="K6" s="137" t="n">
        <x:f>IF($B$12="自由30点＋硬容器",IF($B$13=F6,1,0)-IF($B$14=F6,1,0),0)</x:f>
        <x:v>0</x:v>
      </x:c>
      <x:c r="L6" s="137" t="n">
        <x:f>IFERROR(VLOOKUP(I6,'规则数据'!$A$5:$D$9,2,FALSE),0)+K6</x:f>
        <x:v>1</x:v>
      </x:c>
      <x:c r="M6" s="137" t="str">
        <x:f>IFERROR(VLOOKUP(L6,'规则数据'!$AE$5:$AF$9,2,FALSE),"错误")</x:f>
        <x:v>D</x:v>
      </x:c>
      <x:c r="N6" s="26" t="str">
        <x:v>耐久</x:v>
      </x:c>
      <x:c r="O6" s="137" t="str">
        <x:f>M6</x:f>
        <x:v>D</x:v>
      </x:c>
      <x:c r="P6" s="26" t="str">
        <x:v>最终耐久</x:v>
      </x:c>
    </x:row>
    <x:row r="7">
      <x:c r="A7" s="58" t="str">
        <x:v>愿望／现界理由</x:v>
      </x:c>
      <x:c r="B7" s="127" t="str">
        <x:v>守住不应被开启的门</x:v>
      </x:c>
      <x:c r="C7" s="127"/>
      <x:c r="D7" s="127"/>
      <x:c r="E7" s="247"/>
      <x:c r="F7" s="26" t="str">
        <x:v>灵巧</x:v>
      </x:c>
      <x:c r="G7" s="127" t="str">
        <x:v>B</x:v>
      </x:c>
      <x:c r="H7" s="137" t="str">
        <x:f>IFERROR(VLOOKUP(VLOOKUP($B$8,'职阶相性'!$A$9:$M$15,5,FALSE),'规则数据'!$AE$5:$AF$9,2,FALSE),"")</x:f>
        <x:v>A</x:v>
      </x:c>
      <x:c r="I7" s="137" t="str">
        <x:f>IF($B$12="职阶推荐模板",H7,G7)</x:f>
        <x:v>A</x:v>
      </x:c>
      <x:c r="J7" s="137" t="n">
        <x:f>IFERROR(VLOOKUP(I7,'规则数据'!$A$5:$D$9,3,FALSE),99)</x:f>
        <x:v>10</x:v>
      </x:c>
      <x:c r="K7" s="137" t="n">
        <x:f>IF($B$12="自由30点＋硬容器",IF($B$13=F7,1,0)-IF($B$14=F7,1,0),0)</x:f>
        <x:v>0</x:v>
      </x:c>
      <x:c r="L7" s="137" t="n">
        <x:f>IFERROR(VLOOKUP(I7,'规则数据'!$A$5:$D$9,2,FALSE),0)+K7</x:f>
        <x:v>4</x:v>
      </x:c>
      <x:c r="M7" s="137" t="str">
        <x:f>IFERROR(VLOOKUP(L7,'规则数据'!$AE$5:$AF$9,2,FALSE),"错误")</x:f>
        <x:v>A</x:v>
      </x:c>
      <x:c r="N7" s="26" t="str">
        <x:v>敏捷</x:v>
      </x:c>
      <x:c r="O7" s="137" t="str">
        <x:f>M7</x:f>
        <x:v>A</x:v>
      </x:c>
      <x:c r="P7" s="26" t="str">
        <x:v>最终灵巧</x:v>
      </x:c>
    </x:row>
    <x:row r="8">
      <x:c r="A8" s="58" t="str">
        <x:v>职阶</x:v>
      </x:c>
      <x:c r="B8" s="127" t="str">
        <x:v>Assassin</x:v>
      </x:c>
      <x:c r="C8" s="127"/>
      <x:c r="D8" s="127"/>
      <x:c r="E8" s="247"/>
      <x:c r="F8" s="26" t="str">
        <x:v>感知</x:v>
      </x:c>
      <x:c r="G8" s="127" t="str">
        <x:v>A</x:v>
      </x:c>
      <x:c r="H8" s="137" t="str">
        <x:f>IFERROR(VLOOKUP(VLOOKUP($B$8,'职阶相性'!$A$9:$M$15,6,FALSE),'规则数据'!$AE$5:$AF$9,2,FALSE),"")</x:f>
        <x:v>B</x:v>
      </x:c>
      <x:c r="I8" s="137" t="str">
        <x:f>IF($B$12="职阶推荐模板",H8,G8)</x:f>
        <x:v>B</x:v>
      </x:c>
      <x:c r="J8" s="137" t="n">
        <x:f>IFERROR(VLOOKUP(I8,'规则数据'!$A$5:$D$9,3,FALSE),99)</x:f>
        <x:v>6</x:v>
      </x:c>
      <x:c r="K8" s="137" t="n">
        <x:f>IF($B$12="自由30点＋硬容器",IF($B$13=F8,1,0)-IF($B$14=F8,1,0),0)</x:f>
        <x:v>0</x:v>
      </x:c>
      <x:c r="L8" s="137" t="n">
        <x:f>IFERROR(VLOOKUP(I8,'规则数据'!$A$5:$D$9,2,FALSE),0)+K8</x:f>
        <x:v>3</x:v>
      </x:c>
      <x:c r="M8" s="137" t="str">
        <x:f>IFERROR(VLOOKUP(L8,'规则数据'!$AE$5:$AF$9,2,FALSE),"错误")</x:f>
        <x:v>B</x:v>
      </x:c>
      <x:c r="N8" s="26" t="str">
        <x:v>魔力</x:v>
      </x:c>
      <x:c r="O8" s="137" t="str">
        <x:f>M11</x:f>
        <x:v>C</x:v>
      </x:c>
      <x:c r="P8" s="26" t="str">
        <x:v>最终魔力</x:v>
      </x:c>
    </x:row>
    <x:row r="9">
      <x:c r="A9" s="58" t="str">
        <x:v>传说核心</x:v>
      </x:c>
      <x:c r="B9" s="127" t="str">
        <x:v>以誓约守护禁区的无名刺客</x:v>
      </x:c>
      <x:c r="C9" s="127"/>
      <x:c r="D9" s="127"/>
      <x:c r="E9" s="247"/>
      <x:c r="F9" s="26" t="str">
        <x:v>学识</x:v>
      </x:c>
      <x:c r="G9" s="127" t="str">
        <x:v>B</x:v>
      </x:c>
      <x:c r="H9" s="137" t="str">
        <x:f>IFERROR(VLOOKUP(VLOOKUP($B$8,'职阶相性'!$A$9:$M$15,7,FALSE),'规则数据'!$AE$5:$AF$9,2,FALSE),"")</x:f>
        <x:v>B</x:v>
      </x:c>
      <x:c r="I9" s="137" t="str">
        <x:f>IF($B$12="职阶推荐模板",H9,G9)</x:f>
        <x:v>B</x:v>
      </x:c>
      <x:c r="J9" s="137" t="n">
        <x:f>IFERROR(VLOOKUP(I9,'规则数据'!$A$5:$D$9,3,FALSE),99)</x:f>
        <x:v>6</x:v>
      </x:c>
      <x:c r="K9" s="137" t="n">
        <x:f>IF($B$12="自由30点＋硬容器",IF($B$13=F9,1,0)-IF($B$14=F9,1,0),0)</x:f>
        <x:v>0</x:v>
      </x:c>
      <x:c r="L9" s="137" t="n">
        <x:f>IFERROR(VLOOKUP(I9,'规则数据'!$A$5:$D$9,2,FALSE),0)+K9</x:f>
        <x:v>3</x:v>
      </x:c>
      <x:c r="M9" s="137" t="str">
        <x:f>IFERROR(VLOOKUP(L9,'规则数据'!$AE$5:$AF$9,2,FALSE),"错误")</x:f>
        <x:v>B</x:v>
      </x:c>
      <x:c r="N9" s="26" t="str">
        <x:v>幸运</x:v>
      </x:c>
      <x:c r="O9" s="137" t="str">
        <x:f>B10</x:f>
        <x:v>C</x:v>
      </x:c>
      <x:c r="P9" s="26" t="str">
        <x:v>独立阶位</x:v>
      </x:c>
    </x:row>
    <x:row r="10">
      <x:c r="A10" s="58" t="str">
        <x:v>幸运</x:v>
      </x:c>
      <x:c r="B10" s="127" t="str">
        <x:v>C</x:v>
      </x:c>
      <x:c r="C10" s="127"/>
      <x:c r="D10" s="127"/>
      <x:c r="E10" s="247"/>
      <x:c r="F10" s="26" t="str">
        <x:v>意志</x:v>
      </x:c>
      <x:c r="G10" s="127" t="str">
        <x:v>C</x:v>
      </x:c>
      <x:c r="H10" s="137" t="str">
        <x:f>IFERROR(VLOOKUP(VLOOKUP($B$8,'职阶相性'!$A$9:$M$15,8,FALSE),'规则数据'!$AE$5:$AF$9,2,FALSE),"")</x:f>
        <x:v>C</x:v>
      </x:c>
      <x:c r="I10" s="137" t="str">
        <x:f>IF($B$12="职阶推荐模板",H10,G10)</x:f>
        <x:v>C</x:v>
      </x:c>
      <x:c r="J10" s="137" t="n">
        <x:f>IFERROR(VLOOKUP(I10,'规则数据'!$A$5:$D$9,3,FALSE),99)</x:f>
        <x:v>3</x:v>
      </x:c>
      <x:c r="K10" s="137" t="n">
        <x:f>IF($B$12="自由30点＋硬容器",IF($B$13=F10,1,0)-IF($B$14=F10,1,0),0)</x:f>
        <x:v>0</x:v>
      </x:c>
      <x:c r="L10" s="137" t="n">
        <x:f>IFERROR(VLOOKUP(I10,'规则数据'!$A$5:$D$9,2,FALSE),0)+K10</x:f>
        <x:v>2</x:v>
      </x:c>
      <x:c r="M10" s="137" t="str">
        <x:f>IFERROR(VLOOKUP(L10,'规则数据'!$AE$5:$AF$9,2,FALSE),"错误")</x:f>
        <x:v>C</x:v>
      </x:c>
      <x:c r="N10" s="26" t="str">
        <x:v>宝具</x:v>
      </x:c>
      <x:c r="O10" s="137" t="str">
        <x:f>B45</x:f>
        <x:v>C</x:v>
      </x:c>
      <x:c r="P10" s="26" t="str">
        <x:v>宝具模块</x:v>
      </x:c>
    </x:row>
    <x:row r="11">
      <x:c r="A11" s="58" t="str">
        <x:v>幸运A主持许可</x:v>
      </x:c>
      <x:c r="B11" s="127" t="str">
        <x:v>否</x:v>
      </x:c>
      <x:c r="C11" s="127"/>
      <x:c r="D11" s="127"/>
      <x:c r="E11" s="247"/>
      <x:c r="F11" s="26" t="str">
        <x:v>魔力</x:v>
      </x:c>
      <x:c r="G11" s="127" t="str">
        <x:v>D</x:v>
      </x:c>
      <x:c r="H11" s="137" t="str">
        <x:f>IFERROR(VLOOKUP(VLOOKUP($B$8,'职阶相性'!$A$9:$M$15,9,FALSE),'规则数据'!$AE$5:$AF$9,2,FALSE),"")</x:f>
        <x:v>C</x:v>
      </x:c>
      <x:c r="I11" s="137" t="str">
        <x:f>IF($B$12="职阶推荐模板",H11,G11)</x:f>
        <x:v>C</x:v>
      </x:c>
      <x:c r="J11" s="137" t="n">
        <x:f>IFERROR(VLOOKUP(I11,'规则数据'!$A$5:$D$9,3,FALSE),99)</x:f>
        <x:v>3</x:v>
      </x:c>
      <x:c r="K11" s="137" t="n">
        <x:f>IF($B$12="自由30点＋硬容器",IF($B$13=F11,1,0)-IF($B$14=F11,1,0),0)</x:f>
        <x:v>0</x:v>
      </x:c>
      <x:c r="L11" s="137" t="n">
        <x:f>IFERROR(VLOOKUP(I11,'规则数据'!$A$5:$D$9,2,FALSE),0)+K11</x:f>
        <x:v>2</x:v>
      </x:c>
      <x:c r="M11" s="137" t="str">
        <x:f>IFERROR(VLOOKUP(L11,'规则数据'!$AE$5:$AF$9,2,FALSE),"错误")</x:f>
        <x:v>C</x:v>
      </x:c>
      <x:c r="N11" s="213" t="str">
        <x:v>战术相性</x:v>
      </x:c>
      <x:c r="O11" s="137" t="n">
        <x:f>IF(B17="是",0,IF(B15="战术相性",IFERROR(VLOOKUP(B8&amp;"→"&amp;B16,'职阶相性'!$P$9:$S$26,4,FALSE),0),0))</x:f>
        <x:v>0</x:v>
      </x:c>
      <x:c r="P11" s="213" t="str">
        <x:v>概念克制优先且不叠加</x:v>
      </x:c>
    </x:row>
    <x:row r="12">
      <x:c r="A12" s="58" t="str">
        <x:v>属性构筑模式</x:v>
      </x:c>
      <x:c r="B12" s="127" t="str">
        <x:v>职阶推荐模板</x:v>
      </x:c>
      <x:c r="C12" s="127"/>
      <x:c r="D12" s="127"/>
      <x:c r="E12" s="247"/>
      <x:c r="F12" s="177" t="str">
        <x:v>采用基础属性点合计</x:v>
      </x:c>
      <x:c r="G12" s="177"/>
      <x:c r="H12" s="177"/>
      <x:c r="I12" s="177"/>
      <x:c r="J12" s="137" t="n">
        <x:f>SUM(J5:J11)</x:f>
        <x:v>30</x:v>
      </x:c>
      <x:c r="K12" s="177" t="str">
        <x:v>最终范围</x:v>
      </x:c>
      <x:c r="L12" s="177"/>
      <x:c r="M12" s="137" t="str">
        <x:f>IF(AND(MIN(L5:L11)&gt;=0,MAX(L5:L11)&lt;=4),"通过","错误")</x:f>
        <x:v>通过</x:v>
      </x:c>
      <x:c r="N12" s="247"/>
      <x:c r="O12" s="247"/>
      <x:c r="P12" s="247"/>
    </x:row>
    <x:row r="13" ht="24" customHeight="1">
      <x:c r="A13" s="58" t="str">
        <x:v>代表属性（自动／可覆盖）</x:v>
      </x:c>
      <x:c r="B13" s="139" t="str">
        <x:f>IFERROR(VLOOKUP(B8,'职阶相性'!$A$9:$M$15,10,FALSE),"")</x:f>
        <x:v>灵巧</x:v>
      </x:c>
      <x:c r="C13" s="139"/>
      <x:c r="D13" s="139"/>
      <x:c r="E13" s="247"/>
      <x:c r="F13" s="247"/>
      <x:c r="G13" s="247"/>
      <x:c r="H13" s="247"/>
      <x:c r="I13" s="247"/>
      <x:c r="J13" s="247"/>
      <x:c r="K13" s="247"/>
      <x:c r="L13" s="247"/>
      <x:c r="M13" s="247"/>
      <x:c r="N13" s="82" t="str">
        <x:v>职阶自动化与终检</x:v>
      </x:c>
      <x:c r="O13" s="83"/>
      <x:c r="P13" s="84"/>
    </x:row>
    <x:row r="14" ht="34" customHeight="1">
      <x:c r="A14" s="58" t="str">
        <x:v>负担属性（自动／可覆盖）</x:v>
      </x:c>
      <x:c r="B14" s="139" t="str">
        <x:f>IFERROR(VLOOKUP(B8,'职阶相性'!$A$9:$M$15,11,FALSE),"")</x:f>
        <x:v>耐久</x:v>
      </x:c>
      <x:c r="C14" s="139"/>
      <x:c r="D14" s="139"/>
      <x:c r="E14" s="247"/>
      <x:c r="F14" s="247"/>
      <x:c r="G14" s="247"/>
      <x:c r="H14" s="247"/>
      <x:c r="I14" s="247"/>
      <x:c r="J14" s="247"/>
      <x:c r="K14" s="247"/>
      <x:c r="L14" s="247"/>
      <x:c r="M14" s="247"/>
      <x:c r="N14" s="58" t="str">
        <x:v>职阶特性</x:v>
      </x:c>
      <x:c r="O14" s="139" t="str">
        <x:f>IFERROR(VLOOKUP(B8,'职阶相性'!$A$9:$M$15,2,FALSE),"")</x:f>
        <x:v>气息遮断：场景开始可处于隐匿；第一次暴露前潜行检定优势。</x:v>
      </x:c>
      <x:c r="P14" s="139"/>
    </x:row>
    <x:row r="15" ht="26" customHeight="1">
      <x:c r="A15" s="58" t="str">
        <x:v>相性模式</x:v>
      </x:c>
      <x:c r="B15" s="127" t="str">
        <x:v>叙事相性</x:v>
      </x:c>
      <x:c r="C15" s="127"/>
      <x:c r="D15" s="127"/>
      <x:c r="E15" s="247"/>
      <x:c r="F15" s="247"/>
      <x:c r="G15" s="247"/>
      <x:c r="H15" s="247"/>
      <x:c r="I15" s="247"/>
      <x:c r="J15" s="247"/>
      <x:c r="K15" s="247"/>
      <x:c r="L15" s="247"/>
      <x:c r="M15" s="247"/>
      <x:c r="N15" s="58" t="str">
        <x:v>构筑／容器</x:v>
      </x:c>
      <x:c r="O15" s="139" t="str">
        <x:f>IF(B12="职阶推荐模板","职阶模板｜不重复叠加",IF(B12="自由30点","自由30点｜无容器修正",B13&amp;"+1／"&amp;B14&amp;"-1"))</x:f>
        <x:v>职阶模板｜不重复叠加</x:v>
      </x:c>
      <x:c r="P15" s="139" t="str">
        <x:f>IF(B12&lt;&gt;"自由30点＋硬容器","通过",IF(AND(B13&lt;&gt;B14,VLOOKUP(VLOOKUP(B13,F5:I11,4,FALSE),'规则数据'!$A$5:$D$9,2,FALSE)&lt;=3,VLOOKUP(VLOOKUP(B14,F5:I11,4,FALSE),'规则数据'!$A$5:$D$9,2,FALSE)&gt;=1,M12="通过"),"通过","错误"))</x:f>
        <x:v>通过</x:v>
      </x:c>
    </x:row>
    <x:row r="16" ht="26" customHeight="1">
      <x:c r="A16" s="58" t="str">
        <x:v>对手职阶</x:v>
      </x:c>
      <x:c r="B16" s="127" t="str">
        <x:v>Rider</x:v>
      </x:c>
      <x:c r="C16" s="127"/>
      <x:c r="D16" s="127"/>
      <x:c r="E16" s="247"/>
      <x:c r="F16" s="247"/>
      <x:c r="G16" s="247"/>
      <x:c r="H16" s="247"/>
      <x:c r="I16" s="247"/>
      <x:c r="J16" s="247"/>
      <x:c r="K16" s="247"/>
      <x:c r="L16" s="247"/>
      <x:c r="M16" s="247"/>
      <x:c r="N16" s="58" t="str">
        <x:v>预算／技能</x:v>
      </x:c>
      <x:c r="O16" s="139" t="str">
        <x:f>"属性 "&amp;J12&amp;"/30｜技能 "&amp;SUM(IF(B21="专家",2,IF(B21="受训",1,0)),IF(B22="专家",2,IF(B22="受训",1,0)),IF(B23="专家",2,IF(B23="受训",1,0)),IF(B24="专家",2,IF(B24="受训",1,0)),IF(B25="专家",2,IF(B25="受训",1,0)),IF(B26="专家",2,IF(B26="受训",1,0)),IF(B27="专家",2,IF(B27="受训",1,0)),IF(B28="专家",2,IF(B28="受训",1,0)),IF(B29="专家",2,IF(B29="受训",1,0)),IF(B30="专家",2,IF(B30="受训",1,0)),IF(B31="专家",2,IF(B31="受训",1,0)),IF(B32="专家",2,IF(B32="受训",1,0)))&amp;"/8｜专家 "&amp;SUM(IF(B21="专家",1,0),IF(B22="专家",1,0),IF(B23="专家",1,0),IF(B24="专家",1,0),IF(B25="专家",1,0),IF(B26="专家",1,0),IF(B27="专家",1,0),IF(B28="专家",1,0),IF(B29="专家",1,0),IF(B30="专家",1,0),IF(B31="专家",1,0),IF(B32="专家",1,0))&amp;"/2"</x:f>
        <x:v>属性 30/30｜技能 8/8｜专家 2/2</x:v>
      </x:c>
      <x:c r="P16" s="139" t="str">
        <x:f>IF(AND(J12=30,M12="通过",SUM(IF(B21="专家",2,IF(B21="受训",1,0)),IF(B22="专家",2,IF(B22="受训",1,0)),IF(B23="专家",2,IF(B23="受训",1,0)),IF(B24="专家",2,IF(B24="受训",1,0)),IF(B25="专家",2,IF(B25="受训",1,0)),IF(B26="专家",2,IF(B26="受训",1,0)),IF(B27="专家",2,IF(B27="受训",1,0)),IF(B28="专家",2,IF(B28="受训",1,0)),IF(B29="专家",2,IF(B29="受训",1,0)),IF(B30="专家",2,IF(B30="受训",1,0)),IF(B31="专家",2,IF(B31="受训",1,0)),IF(B32="专家",2,IF(B32="受训",1,0)))&lt;=8,SUM(IF(B21="专家",1,0),IF(B22="专家",1,0),IF(B23="专家",1,0),IF(B24="专家",1,0),IF(B25="专家",1,0),IF(B26="专家",1,0),IF(B27="专家",1,0),IF(B28="专家",1,0),IF(B29="专家",1,0),IF(B30="专家",1,0),IF(B31="专家",1,0),IF(B32="专家",1,0))&lt;=2,OR(B22&lt;&gt;"未受训",B23&lt;&gt;"未受训",B30&lt;&gt;"未受训")),"通过","超限")</x:f>
        <x:v>通过</x:v>
      </x:c>
    </x:row>
    <x:row r="17" ht="32" customHeight="1">
      <x:c r="A17" s="58" t="str">
        <x:v>概念克制已触发</x:v>
      </x:c>
      <x:c r="B17" s="127" t="str">
        <x:v>否</x:v>
      </x:c>
      <x:c r="C17" s="127"/>
      <x:c r="D17" s="127"/>
      <x:c r="E17" s="247"/>
      <x:c r="F17" s="247"/>
      <x:c r="G17" s="247"/>
      <x:c r="H17" s="247"/>
      <x:c r="I17" s="247"/>
      <x:c r="J17" s="247"/>
      <x:c r="K17" s="247"/>
      <x:c r="L17" s="247"/>
      <x:c r="M17" s="247"/>
      <x:c r="N17" s="58" t="str">
        <x:v>派生值</x:v>
      </x:c>
      <x:c r="O17" s="139" t="str">
        <x:f>"HP "&amp;(18+L6*3)&amp;"｜MP "&amp;(6+L11*2+'御主契约'!$G$5)&amp;"｜回避 "&amp;(10+L7)&amp;"｜坚韧 "&amp;(10+L6)&amp;"｜精神 "&amp;(10+L10)&amp;"｜察觉 "&amp;(10+L8)</x:f>
        <x:v>HP 21｜MP 10｜回避 14｜坚韧 11｜精神 12｜察觉 13</x:v>
      </x:c>
      <x:c r="P17" s="139"/>
    </x:row>
    <x:row r="18" ht="26" customHeight="1">
      <x:c r="A18" s="58" t="str">
        <x:v>供魔等级</x:v>
      </x:c>
      <x:c r="B18" s="139" t="str">
        <x:f>'御主契约'!$B$6</x:f>
        <x:v>稳定</x:v>
      </x:c>
      <x:c r="C18" s="139"/>
      <x:c r="D18" s="139"/>
      <x:c r="E18" s="247"/>
      <x:c r="F18" s="247"/>
      <x:c r="G18" s="247"/>
      <x:c r="H18" s="247"/>
      <x:c r="I18" s="247"/>
      <x:c r="J18" s="247"/>
      <x:c r="K18" s="247"/>
      <x:c r="L18" s="247"/>
      <x:c r="M18" s="247"/>
      <x:c r="N18" s="58" t="str">
        <x:v>总状态</x:v>
      </x:c>
      <x:c r="O18" s="137" t="str">
        <x:f>IF(AND(P15="通过",P16="通过",N42="通过",G50="通过",G55="通过"),"合法","需要处理")</x:f>
        <x:v>合法</x:v>
      </x:c>
      <x:c r="P18" s="137"/>
    </x:row>
    <x:row r="19" ht="28" customHeight="1">
      <x:c r="A19" s="223" t="str">
        <x:f>IF(B12="职阶推荐模板","已自动载入该职阶的完整30点推荐数组；不会重复叠加±1硬容器。",IF(B12="自由30点","读取右侧自定义阶位；须恰好花费30点。","读取自定义阶位，并自动应用代表属性+1／负担属性-1。"))</x:f>
        <x:v>已自动载入该职阶的完整30点推荐数组；不会重复叠加±1硬容器。</x:v>
      </x:c>
      <x:c r="B19" s="224"/>
      <x:c r="C19" s="224"/>
      <x:c r="D19" s="225"/>
      <x:c r="E19" s="247"/>
      <x:c r="F19" s="247"/>
      <x:c r="G19" s="247"/>
      <x:c r="H19" s="247"/>
      <x:c r="I19" s="247"/>
      <x:c r="J19" s="247"/>
      <x:c r="K19" s="247"/>
      <x:c r="L19" s="247"/>
      <x:c r="M19" s="247"/>
      <x:c r="N19" s="247"/>
      <x:c r="O19" s="247"/>
      <x:c r="P19" s="247"/>
    </x:row>
    <x:row r="20">
      <x:c r="A20" s="41" t="str">
        <x:v>通用技能</x:v>
      </x:c>
      <x:c r="B20" s="41" t="str">
        <x:v>训练</x:v>
      </x:c>
      <x:c r="C20" s="41" t="str">
        <x:v>加值</x:v>
      </x:c>
      <x:c r="D20" s="41" t="str">
        <x:v>成本</x:v>
      </x:c>
      <x:c r="E20" s="41" t="str">
        <x:v>常用属性</x:v>
      </x:c>
      <x:c r="F20" s="41" t="str">
        <x:v>应用预览</x:v>
      </x:c>
      <x:c r="G20" s="247"/>
      <x:c r="H20" s="247"/>
      <x:c r="I20" s="247"/>
      <x:c r="J20" s="247"/>
      <x:c r="K20" s="247"/>
      <x:c r="L20" s="247"/>
      <x:c r="M20" s="247"/>
      <x:c r="N20" s="247"/>
      <x:c r="O20" s="247"/>
      <x:c r="P20" s="247"/>
    </x:row>
    <x:row r="21" ht="25" customHeight="1">
      <x:c r="A21" s="58" t="str">
        <x:v>运动</x:v>
      </x:c>
      <x:c r="B21" s="127" t="str">
        <x:v>受训</x:v>
      </x:c>
      <x:c r="C21" s="137" t="n">
        <x:f>IF(B21="专家",4,IF(B21="受训",2,0))</x:f>
        <x:v>2</x:v>
      </x:c>
      <x:c r="D21" s="137" t="n">
        <x:f>IF(B21="专家",2,IF(B21="受训",1,0))</x:f>
        <x:v>1</x:v>
      </x:c>
      <x:c r="E21" s="58" t="str">
        <x:v>体魄／灵巧／耐久</x:v>
      </x:c>
      <x:c r="F21" s="58" t="str">
        <x:v>奔跑、攀爬、游泳、挣脱</x:v>
      </x:c>
      <x:c r="G21" s="247"/>
      <x:c r="H21" s="247"/>
      <x:c r="I21" s="247"/>
      <x:c r="J21" s="247"/>
      <x:c r="K21" s="247"/>
      <x:c r="L21" s="247"/>
      <x:c r="M21" s="247"/>
      <x:c r="N21" s="247"/>
      <x:c r="O21" s="247"/>
      <x:c r="P21" s="247"/>
    </x:row>
    <x:row r="22" ht="25" customHeight="1">
      <x:c r="A22" s="58" t="str">
        <x:v>近战</x:v>
      </x:c>
      <x:c r="B22" s="127" t="str">
        <x:v>专家</x:v>
      </x:c>
      <x:c r="C22" s="137" t="n">
        <x:f>IF(B22="专家",4,IF(B22="受训",2,0))</x:f>
        <x:v>4</x:v>
      </x:c>
      <x:c r="D22" s="137" t="n">
        <x:f>IF(B22="专家",2,IF(B22="受训",1,0))</x:f>
        <x:v>2</x:v>
      </x:c>
      <x:c r="E22" s="58" t="str">
        <x:v>体魄／灵巧</x:v>
      </x:c>
      <x:c r="F22" s="58" t="str">
        <x:v>徒手、刀剑、长兵器、格挡</x:v>
      </x:c>
      <x:c r="G22" s="247"/>
      <x:c r="H22" s="247"/>
      <x:c r="I22" s="247"/>
      <x:c r="J22" s="247"/>
      <x:c r="K22" s="247"/>
      <x:c r="L22" s="247"/>
      <x:c r="M22" s="247"/>
      <x:c r="N22" s="247"/>
      <x:c r="O22" s="247"/>
      <x:c r="P22" s="247"/>
    </x:row>
    <x:row r="23" ht="25" customHeight="1">
      <x:c r="A23" s="58" t="str">
        <x:v>射击</x:v>
      </x:c>
      <x:c r="B23" s="127" t="str">
        <x:v>受训</x:v>
      </x:c>
      <x:c r="C23" s="137" t="n">
        <x:f>IF(B23="专家",4,IF(B23="受训",2,0))</x:f>
        <x:v>2</x:v>
      </x:c>
      <x:c r="D23" s="137" t="n">
        <x:f>IF(B23="专家",2,IF(B23="受训",1,0))</x:f>
        <x:v>1</x:v>
      </x:c>
      <x:c r="E23" s="58" t="str">
        <x:v>灵巧</x:v>
      </x:c>
      <x:c r="F23" s="58" t="str">
        <x:v>枪械、弓弩、投掷、瞄准</x:v>
      </x:c>
      <x:c r="G23" s="247"/>
      <x:c r="H23" s="247"/>
      <x:c r="I23" s="247"/>
      <x:c r="J23" s="247"/>
      <x:c r="K23" s="247"/>
      <x:c r="L23" s="247"/>
      <x:c r="M23" s="247"/>
      <x:c r="N23" s="247"/>
      <x:c r="O23" s="247"/>
      <x:c r="P23" s="247"/>
    </x:row>
    <x:row r="24" ht="25" customHeight="1">
      <x:c r="A24" s="58" t="str">
        <x:v>潜行</x:v>
      </x:c>
      <x:c r="B24" s="127" t="str">
        <x:v>专家</x:v>
      </x:c>
      <x:c r="C24" s="137" t="n">
        <x:f>IF(B24="专家",4,IF(B24="受训",2,0))</x:f>
        <x:v>4</x:v>
      </x:c>
      <x:c r="D24" s="137" t="n">
        <x:f>IF(B24="专家",2,IF(B24="受训",1,0))</x:f>
        <x:v>2</x:v>
      </x:c>
      <x:c r="E24" s="58" t="str">
        <x:v>灵巧</x:v>
      </x:c>
      <x:c r="F24" s="58" t="str">
        <x:v>隐藏、尾随、藏物</x:v>
      </x:c>
      <x:c r="G24" s="247"/>
      <x:c r="H24" s="247"/>
      <x:c r="I24" s="247"/>
      <x:c r="J24" s="247"/>
      <x:c r="K24" s="247"/>
      <x:c r="L24" s="247"/>
      <x:c r="M24" s="247"/>
      <x:c r="N24" s="247"/>
      <x:c r="O24" s="247"/>
      <x:c r="P24" s="247"/>
    </x:row>
    <x:row r="25" ht="25" customHeight="1">
      <x:c r="A25" s="58" t="str">
        <x:v>侦查</x:v>
      </x:c>
      <x:c r="B25" s="127" t="str">
        <x:v>受训</x:v>
      </x:c>
      <x:c r="C25" s="137" t="n">
        <x:f>IF(B25="专家",4,IF(B25="受训",2,0))</x:f>
        <x:v>2</x:v>
      </x:c>
      <x:c r="D25" s="137" t="n">
        <x:f>IF(B25="专家",2,IF(B25="受训",1,0))</x:f>
        <x:v>1</x:v>
      </x:c>
      <x:c r="E25" s="58" t="str">
        <x:v>感知</x:v>
      </x:c>
      <x:c r="F25" s="58" t="str">
        <x:v>警戒、搜寻、追踪、魔力波动</x:v>
      </x:c>
      <x:c r="G25" s="247"/>
      <x:c r="H25" s="247"/>
      <x:c r="I25" s="247"/>
      <x:c r="J25" s="247"/>
      <x:c r="K25" s="247"/>
      <x:c r="L25" s="247"/>
      <x:c r="M25" s="247"/>
      <x:c r="N25" s="247"/>
      <x:c r="O25" s="247"/>
      <x:c r="P25" s="247"/>
    </x:row>
    <x:row r="26" ht="25" customHeight="1">
      <x:c r="A26" s="58" t="str">
        <x:v>调查</x:v>
      </x:c>
      <x:c r="B26" s="127" t="str">
        <x:v>未受训</x:v>
      </x:c>
      <x:c r="C26" s="137" t="n">
        <x:f>IF(B26="专家",4,IF(B26="受训",2,0))</x:f>
        <x:v>0</x:v>
      </x:c>
      <x:c r="D26" s="137" t="n">
        <x:f>IF(B26="专家",2,IF(B26="受训",1,0))</x:f>
        <x:v>0</x:v>
      </x:c>
      <x:c r="E26" s="58" t="str">
        <x:v>学识／感知</x:v>
      </x:c>
      <x:c r="F26" s="58" t="str">
        <x:v>现场还原、查档、讯问</x:v>
      </x:c>
      <x:c r="G26" s="247"/>
      <x:c r="H26" s="247"/>
      <x:c r="I26" s="247"/>
      <x:c r="J26" s="247"/>
      <x:c r="K26" s="247"/>
      <x:c r="L26" s="247"/>
      <x:c r="M26" s="247"/>
      <x:c r="N26" s="247"/>
      <x:c r="O26" s="247"/>
      <x:c r="P26" s="247"/>
    </x:row>
    <x:row r="27" ht="25" customHeight="1">
      <x:c r="A27" s="58" t="str">
        <x:v>学术</x:v>
      </x:c>
      <x:c r="B27" s="127" t="str">
        <x:v>未受训</x:v>
      </x:c>
      <x:c r="C27" s="137" t="n">
        <x:f>IF(B27="专家",4,IF(B27="受训",2,0))</x:f>
        <x:v>0</x:v>
      </x:c>
      <x:c r="D27" s="137" t="n">
        <x:f>IF(B27="专家",2,IF(B27="受训",1,0))</x:f>
        <x:v>0</x:v>
      </x:c>
      <x:c r="E27" s="58" t="str">
        <x:v>学识</x:v>
      </x:c>
      <x:c r="F27" s="58" t="str">
        <x:v>历史、神话、语言、法律</x:v>
      </x:c>
      <x:c r="G27" s="247"/>
      <x:c r="H27" s="247"/>
      <x:c r="I27" s="247"/>
      <x:c r="J27" s="247"/>
      <x:c r="K27" s="247"/>
      <x:c r="L27" s="247"/>
      <x:c r="M27" s="247"/>
      <x:c r="N27" s="247"/>
      <x:c r="O27" s="247"/>
      <x:c r="P27" s="247"/>
    </x:row>
    <x:row r="28" ht="25" customHeight="1">
      <x:c r="A28" s="58" t="str">
        <x:v>技术</x:v>
      </x:c>
      <x:c r="B28" s="127" t="str">
        <x:v>未受训</x:v>
      </x:c>
      <x:c r="C28" s="137" t="n">
        <x:f>IF(B28="专家",4,IF(B28="受训",2,0))</x:f>
        <x:v>0</x:v>
      </x:c>
      <x:c r="D28" s="137" t="n">
        <x:f>IF(B28="专家",2,IF(B28="受训",1,0))</x:f>
        <x:v>0</x:v>
      </x:c>
      <x:c r="E28" s="58" t="str">
        <x:v>学识／灵巧</x:v>
      </x:c>
      <x:c r="F28" s="58" t="str">
        <x:v>电子、机械、爆破、驾驶</x:v>
      </x:c>
      <x:c r="G28" s="247"/>
      <x:c r="H28" s="247"/>
      <x:c r="I28" s="247"/>
      <x:c r="J28" s="247"/>
      <x:c r="K28" s="247"/>
      <x:c r="L28" s="247"/>
      <x:c r="M28" s="247"/>
      <x:c r="N28" s="247"/>
      <x:c r="O28" s="247"/>
      <x:c r="P28" s="247"/>
    </x:row>
    <x:row r="29" ht="25" customHeight="1">
      <x:c r="A29" s="58" t="str">
        <x:v>医疗</x:v>
      </x:c>
      <x:c r="B29" s="127" t="str">
        <x:v>未受训</x:v>
      </x:c>
      <x:c r="C29" s="137" t="n">
        <x:f>IF(B29="专家",4,IF(B29="受训",2,0))</x:f>
        <x:v>0</x:v>
      </x:c>
      <x:c r="D29" s="137" t="n">
        <x:f>IF(B29="专家",2,IF(B29="受训",1,0))</x:f>
        <x:v>0</x:v>
      </x:c>
      <x:c r="E29" s="58" t="str">
        <x:v>学识／感知</x:v>
      </x:c>
      <x:c r="F29" s="58" t="str">
        <x:v>急救、诊断、药理</x:v>
      </x:c>
      <x:c r="G29" s="247"/>
      <x:c r="H29" s="247"/>
      <x:c r="I29" s="247"/>
      <x:c r="J29" s="247"/>
      <x:c r="K29" s="247"/>
      <x:c r="L29" s="247"/>
      <x:c r="M29" s="247"/>
      <x:c r="N29" s="247"/>
      <x:c r="O29" s="247"/>
      <x:c r="P29" s="247"/>
    </x:row>
    <x:row r="30" ht="25" customHeight="1">
      <x:c r="A30" s="58" t="str">
        <x:v>魔术</x:v>
      </x:c>
      <x:c r="B30" s="127" t="str">
        <x:v>未受训</x:v>
      </x:c>
      <x:c r="C30" s="137" t="n">
        <x:f>IF(B30="专家",4,IF(B30="受训",2,0))</x:f>
        <x:v>0</x:v>
      </x:c>
      <x:c r="D30" s="137" t="n">
        <x:f>IF(B30="专家",2,IF(B30="受训",1,0))</x:f>
        <x:v>0</x:v>
      </x:c>
      <x:c r="E30" s="58" t="str">
        <x:v>魔力／学识</x:v>
      </x:c>
      <x:c r="F30" s="58" t="str">
        <x:v>施术、识别、反制、灵脉</x:v>
      </x:c>
      <x:c r="G30" s="247"/>
      <x:c r="H30" s="247"/>
      <x:c r="I30" s="247"/>
      <x:c r="J30" s="247"/>
      <x:c r="K30" s="247"/>
      <x:c r="L30" s="247"/>
      <x:c r="M30" s="247"/>
      <x:c r="N30" s="247"/>
      <x:c r="O30" s="247"/>
      <x:c r="P30" s="247"/>
    </x:row>
    <x:row r="31" ht="25" customHeight="1">
      <x:c r="A31" s="58" t="str">
        <x:v>交涉</x:v>
      </x:c>
      <x:c r="B31" s="127" t="str">
        <x:v>未受训</x:v>
      </x:c>
      <x:c r="C31" s="137" t="n">
        <x:f>IF(B31="专家",4,IF(B31="受训",2,0))</x:f>
        <x:v>0</x:v>
      </x:c>
      <x:c r="D31" s="137" t="n">
        <x:f>IF(B31="专家",2,IF(B31="受训",1,0))</x:f>
        <x:v>0</x:v>
      </x:c>
      <x:c r="E31" s="58" t="str">
        <x:v>意志／感知／学识</x:v>
      </x:c>
      <x:c r="F31" s="58" t="str">
        <x:v>说服、安抚、欺骗、威慑</x:v>
      </x:c>
      <x:c r="G31" s="247"/>
      <x:c r="H31" s="247"/>
      <x:c r="I31" s="247"/>
      <x:c r="J31" s="247"/>
      <x:c r="K31" s="247"/>
      <x:c r="L31" s="247"/>
      <x:c r="M31" s="247"/>
      <x:c r="N31" s="247"/>
      <x:c r="O31" s="247"/>
      <x:c r="P31" s="247"/>
    </x:row>
    <x:row r="32" ht="25" customHeight="1">
      <x:c r="A32" s="58" t="str">
        <x:v>指挥</x:v>
      </x:c>
      <x:c r="B32" s="127" t="str">
        <x:v>受训</x:v>
      </x:c>
      <x:c r="C32" s="137" t="n">
        <x:f>IF(B32="专家",4,IF(B32="受训",2,0))</x:f>
        <x:v>2</x:v>
      </x:c>
      <x:c r="D32" s="137" t="n">
        <x:f>IF(B32="专家",2,IF(B32="受训",1,0))</x:f>
        <x:v>1</x:v>
      </x:c>
      <x:c r="E32" s="58" t="str">
        <x:v>意志／学识</x:v>
      </x:c>
      <x:c r="F32" s="58" t="str">
        <x:v>调度、协同、御主支援</x:v>
      </x:c>
      <x:c r="G32" s="247"/>
      <x:c r="H32" s="247"/>
      <x:c r="I32" s="247"/>
      <x:c r="J32" s="247"/>
      <x:c r="K32" s="247"/>
      <x:c r="L32" s="247"/>
      <x:c r="M32" s="247"/>
      <x:c r="N32" s="247"/>
      <x:c r="O32" s="247"/>
      <x:c r="P32" s="247"/>
    </x:row>
    <x:row r="33">
      <x:c r="A33" s="177" t="str">
        <x:v>技能点合计</x:v>
      </x:c>
      <x:c r="B33" s="177"/>
      <x:c r="C33" s="177"/>
      <x:c r="D33" s="137" t="n">
        <x:f>SUM(D21:D32)</x:f>
        <x:v>8</x:v>
      </x:c>
      <x:c r="E33" s="177" t="str">
        <x:v>专家数量</x:v>
      </x:c>
      <x:c r="F33" s="137" t="n">
        <x:f>SUM(IF(B21="专家",1,0),IF(B22="专家",1,0),IF(B23="专家",1,0),IF(B24="专家",1,0),IF(B25="专家",1,0),IF(B26="专家",1,0),IF(B27="专家",1,0),IF(B28="专家",1,0),IF(B29="专家",1,0),IF(B30="专家",1,0),IF(B31="专家",1,0),IF(B32="专家",1,0))</x:f>
        <x:v>2</x:v>
      </x:c>
      <x:c r="G33" s="247"/>
      <x:c r="H33" s="247"/>
      <x:c r="I33" s="247"/>
      <x:c r="J33" s="247"/>
      <x:c r="K33" s="247"/>
      <x:c r="L33" s="247"/>
      <x:c r="M33" s="247"/>
      <x:c r="N33" s="247"/>
      <x:c r="O33" s="247"/>
      <x:c r="P33" s="247"/>
    </x:row>
    <x:row r="34">
      <x:c r="A34" s="247"/>
      <x:c r="B34" s="247"/>
      <x:c r="C34" s="247"/>
      <x:c r="D34" s="247"/>
      <x:c r="E34" s="247"/>
      <x:c r="F34" s="247"/>
      <x:c r="G34" s="247"/>
      <x:c r="H34" s="247"/>
      <x:c r="I34" s="247"/>
      <x:c r="J34" s="247"/>
      <x:c r="K34" s="247"/>
      <x:c r="L34" s="247"/>
      <x:c r="M34" s="247"/>
      <x:c r="N34" s="247"/>
      <x:c r="O34" s="247"/>
      <x:c r="P34" s="247"/>
    </x:row>
    <x:row r="35">
      <x:c r="A35" s="247"/>
      <x:c r="B35" s="247"/>
      <x:c r="C35" s="247"/>
      <x:c r="D35" s="247"/>
      <x:c r="E35" s="247"/>
      <x:c r="F35" s="247"/>
      <x:c r="G35" s="247"/>
      <x:c r="H35" s="247"/>
      <x:c r="I35" s="247"/>
      <x:c r="J35" s="247"/>
      <x:c r="K35" s="247"/>
      <x:c r="L35" s="247"/>
      <x:c r="M35" s="247"/>
      <x:c r="N35" s="247"/>
      <x:c r="O35" s="247"/>
      <x:c r="P35" s="247"/>
    </x:row>
    <x:row r="36">
      <x:c r="A36" s="247"/>
      <x:c r="B36" s="247"/>
      <x:c r="C36" s="247"/>
      <x:c r="D36" s="247"/>
      <x:c r="E36" s="247"/>
      <x:c r="F36" s="247"/>
      <x:c r="G36" s="247"/>
      <x:c r="H36" s="247"/>
      <x:c r="I36" s="247"/>
      <x:c r="J36" s="247"/>
      <x:c r="K36" s="247"/>
      <x:c r="L36" s="247"/>
      <x:c r="M36" s="247"/>
      <x:c r="N36" s="247"/>
      <x:c r="O36" s="247"/>
      <x:c r="P36" s="247"/>
    </x:row>
    <x:row r="37" ht="24" customHeight="1">
      <x:c r="A37" s="82" t="str">
        <x:v>三项保有技能｜自定义能力卡</x:v>
      </x:c>
      <x:c r="B37" s="83"/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83"/>
      <x:c r="N37" s="83"/>
      <x:c r="O37" s="83"/>
      <x:c r="P37" s="84"/>
    </x:row>
    <x:row r="38">
      <x:c r="A38" s="88" t="str">
        <x:v>#</x:v>
      </x:c>
      <x:c r="B38" s="88" t="str">
        <x:v>名称</x:v>
      </x:c>
      <x:c r="C38" s="88"/>
      <x:c r="D38" s="88"/>
      <x:c r="E38" s="88" t="str">
        <x:v>阶位</x:v>
      </x:c>
      <x:c r="F38" s="88" t="str">
        <x:v>点数</x:v>
      </x:c>
      <x:c r="G38" s="88" t="str">
        <x:v>动作／触发</x:v>
      </x:c>
      <x:c r="H38" s="88"/>
      <x:c r="I38" s="88"/>
      <x:c r="J38" s="88" t="str">
        <x:v>效果</x:v>
      </x:c>
      <x:c r="K38" s="88"/>
      <x:c r="L38" s="88"/>
      <x:c r="M38" s="88" t="str">
        <x:v>反制／冷却</x:v>
      </x:c>
      <x:c r="N38" s="88"/>
      <x:c r="O38" s="88"/>
      <x:c r="P38" s="88"/>
    </x:row>
    <x:row r="39" ht="52" customHeight="1">
      <x:c r="A39" s="58" t="n">
        <x:v>1</x:v>
      </x:c>
      <x:c r="B39" s="127" t="str">
        <x:v>战斗续行</x:v>
      </x:c>
      <x:c r="C39" s="127"/>
      <x:c r="D39" s="127"/>
      <x:c r="E39" s="127" t="str">
        <x:v>B</x:v>
      </x:c>
      <x:c r="F39" s="137" t="n">
        <x:f>IFERROR(VLOOKUP(E39,'规则数据'!$AB$5:$AC$9,2,FALSE),99)</x:f>
        <x:v>3</x:v>
      </x:c>
      <x:c r="G39" s="127" t="str">
        <x:v>反应／每场一次</x:v>
      </x:c>
      <x:c r="H39" s="127"/>
      <x:c r="I39" s="127"/>
      <x:c r="J39" s="127" t="str">
        <x:v>生命将降至0时改为保留1生命；直到下回合结束不能解放宝具。</x:v>
      </x:c>
      <x:c r="K39" s="127"/>
      <x:c r="L39" s="127"/>
      <x:c r="M39" s="127" t="str">
        <x:v>治疗、封印或概念即死可反制。</x:v>
      </x:c>
      <x:c r="N39" s="127"/>
      <x:c r="O39" s="127"/>
      <x:c r="P39" s="127"/>
    </x:row>
    <x:row r="40" ht="52" customHeight="1">
      <x:c r="A40" s="58" t="n">
        <x:v>2</x:v>
      </x:c>
      <x:c r="B40" s="127" t="str">
        <x:v>直感</x:v>
      </x:c>
      <x:c r="C40" s="127"/>
      <x:c r="D40" s="127"/>
      <x:c r="E40" s="127" t="str">
        <x:v>C</x:v>
      </x:c>
      <x:c r="F40" s="137" t="n">
        <x:f>IFERROR(VLOOKUP(E40,'规则数据'!$AB$5:$AC$9,2,FALSE),99)</x:f>
        <x:v>2</x:v>
      </x:c>
      <x:c r="G40" s="127" t="str">
        <x:v>次要动作／1MP／冷却2轮</x:v>
      </x:c>
      <x:c r="H40" s="127"/>
      <x:c r="I40" s="127"/>
      <x:c r="J40" s="127" t="str">
        <x:v>识别最危险的立即行动；大成功本轮回避+2。</x:v>
      </x:c>
      <x:c r="K40" s="127"/>
      <x:c r="L40" s="127"/>
      <x:c r="M40" s="127" t="str">
        <x:v>遮蔽、误导与情报代价。</x:v>
      </x:c>
      <x:c r="N40" s="127"/>
      <x:c r="O40" s="127"/>
      <x:c r="P40" s="127"/>
    </x:row>
    <x:row r="41" ht="52" customHeight="1">
      <x:c r="A41" s="58" t="n">
        <x:v>3</x:v>
      </x:c>
      <x:c r="B41" s="127" t="str">
        <x:v>守门誓约</x:v>
      </x:c>
      <x:c r="C41" s="127"/>
      <x:c r="D41" s="127"/>
      <x:c r="E41" s="127" t="str">
        <x:v>C</x:v>
      </x:c>
      <x:c r="F41" s="137" t="n">
        <x:f>IFERROR(VLOOKUP(E41,'规则数据'!$AB$5:$AC$9,2,FALSE),99)</x:f>
        <x:v>2</x:v>
      </x:c>
      <x:c r="G41" s="127" t="str">
        <x:v>反应／2MP</x:v>
      </x:c>
      <x:c r="H41" s="127"/>
      <x:c r="I41" s="127"/>
      <x:c r="J41" s="127" t="str">
        <x:v>保护同区域目标并减伤3。</x:v>
      </x:c>
      <x:c r="K41" s="127"/>
      <x:c r="L41" s="127"/>
      <x:c r="M41" s="127" t="str">
        <x:v>离开守卫线或违背誓约时失效。</x:v>
      </x:c>
      <x:c r="N41" s="127"/>
      <x:c r="O41" s="127"/>
      <x:c r="P41" s="127"/>
    </x:row>
    <x:row r="42">
      <x:c r="A42" s="177" t="str">
        <x:v>保有技能点数合计／宝具联动上限</x:v>
      </x:c>
      <x:c r="B42" s="177"/>
      <x:c r="C42" s="177"/>
      <x:c r="D42" s="177"/>
      <x:c r="E42" s="177"/>
      <x:c r="F42" s="177"/>
      <x:c r="G42" s="177"/>
      <x:c r="H42" s="177"/>
      <x:c r="I42" s="177"/>
      <x:c r="J42" s="137" t="n">
        <x:f>SUM(F39:F41)</x:f>
        <x:v>7</x:v>
      </x:c>
      <x:c r="K42" s="137" t="n">
        <x:f>IFERROR(VLOOKUP(B45,'规则数据'!$O$13:$S$17,5,FALSE),0)</x:f>
        <x:v>7</x:v>
      </x:c>
      <x:c r="L42" s="137"/>
      <x:c r="M42" s="137"/>
      <x:c r="N42" s="137" t="str">
        <x:f>IF(AND(J42&lt;=K42,COUNTIF(E39:E41,"A")&lt;=1,COUNTA(B39:B41)=3),"通过","超限")</x:f>
        <x:v>通过</x:v>
      </x:c>
      <x:c r="O42" s="137"/>
      <x:c r="P42" s="137"/>
    </x:row>
    <x:row r="43">
      <x:c r="A43" s="247"/>
      <x:c r="B43" s="247"/>
      <x:c r="C43" s="247"/>
      <x:c r="D43" s="247"/>
      <x:c r="E43" s="247"/>
      <x:c r="F43" s="247"/>
      <x:c r="G43" s="247"/>
      <x:c r="H43" s="247"/>
      <x:c r="I43" s="247"/>
      <x:c r="J43" s="247"/>
      <x:c r="K43" s="247"/>
      <x:c r="L43" s="247"/>
      <x:c r="M43" s="247"/>
      <x:c r="N43" s="247"/>
      <x:c r="O43" s="247"/>
      <x:c r="P43" s="247"/>
    </x:row>
    <x:row r="44" ht="24" customHeight="1">
      <x:c r="A44" s="50" t="str">
        <x:v>宝具｜真名解放</x:v>
      </x:c>
      <x:c r="B44" s="51"/>
      <x:c r="C44" s="51"/>
      <x:c r="D44" s="51"/>
      <x:c r="E44" s="51"/>
      <x:c r="F44" s="51"/>
      <x:c r="G44" s="51"/>
      <x:c r="H44" s="51"/>
      <x:c r="I44" s="51"/>
      <x:c r="J44" s="51"/>
      <x:c r="K44" s="51"/>
      <x:c r="L44" s="51"/>
      <x:c r="M44" s="51"/>
      <x:c r="N44" s="51"/>
      <x:c r="O44" s="51"/>
      <x:c r="P44" s="52"/>
    </x:row>
    <x:row r="45">
      <x:c r="A45" s="150" t="str">
        <x:v>阶位</x:v>
      </x:c>
      <x:c r="B45" s="127" t="str">
        <x:v>C</x:v>
      </x:c>
      <x:c r="C45" s="127"/>
      <x:c r="D45" s="127"/>
      <x:c r="E45" s="247"/>
      <x:c r="F45" s="56" t="str">
        <x:v>项目</x:v>
      </x:c>
      <x:c r="G45" s="56" t="str">
        <x:v>结果</x:v>
      </x:c>
      <x:c r="H45" s="56" t="str">
        <x:v>说明</x:v>
      </x:c>
      <x:c r="I45" s="56"/>
      <x:c r="J45" s="247"/>
      <x:c r="K45" s="56" t="str">
        <x:v>宝具类型规则预览</x:v>
      </x:c>
      <x:c r="L45" s="56"/>
      <x:c r="M45" s="56"/>
      <x:c r="N45" s="56"/>
      <x:c r="O45" s="56"/>
      <x:c r="P45" s="56"/>
    </x:row>
    <x:row r="46">
      <x:c r="A46" s="150" t="str">
        <x:v>类型</x:v>
      </x:c>
      <x:c r="B46" s="127" t="str">
        <x:v>对人</x:v>
      </x:c>
      <x:c r="C46" s="127"/>
      <x:c r="D46" s="127"/>
      <x:c r="E46" s="247"/>
      <x:c r="F46" s="58" t="str">
        <x:v>MP成本</x:v>
      </x:c>
      <x:c r="G46" s="137" t="n">
        <x:f>IFERROR(VLOOKUP(B45,'规则数据'!$O$13:$S$17,3,FALSE),0)</x:f>
        <x:v>5</x:v>
      </x:c>
      <x:c r="H46" s="58" t="str">
        <x:v>按阶位</x:v>
      </x:c>
      <x:c r="I46" s="58"/>
      <x:c r="J46" s="247"/>
      <x:c r="K46" s="139" t="str">
        <x:f>IFERROR(VLOOKUP(B46,'规则数据'!$V$13:$W$17,2,FALSE),"")</x:f>
        <x:v>完整伤害；集中一个主要目标。</x:v>
      </x:c>
      <x:c r="L46" s="139"/>
      <x:c r="M46" s="139"/>
      <x:c r="N46" s="139"/>
      <x:c r="O46" s="139"/>
      <x:c r="P46" s="139"/>
    </x:row>
    <x:row r="47">
      <x:c r="A47" s="150" t="str">
        <x:v>宝具名称</x:v>
      </x:c>
      <x:c r="B47" s="127" t="str">
        <x:v>破晓横断之枪</x:v>
      </x:c>
      <x:c r="C47" s="127"/>
      <x:c r="D47" s="127"/>
      <x:c r="E47" s="247"/>
      <x:c r="F47" s="58" t="str">
        <x:v>对人基准</x:v>
      </x:c>
      <x:c r="G47" s="137" t="n">
        <x:f>IFERROR(VLOOKUP(B45,'规则数据'!$O$13:$S$17,4,FALSE),0)</x:f>
        <x:v>8</x:v>
      </x:c>
      <x:c r="H47" s="58" t="str">
        <x:v>类型可修正</x:v>
      </x:c>
      <x:c r="I47" s="58"/>
      <x:c r="J47" s="247"/>
      <x:c r="K47" s="139"/>
      <x:c r="L47" s="139"/>
      <x:c r="M47" s="139"/>
      <x:c r="N47" s="139"/>
      <x:c r="O47" s="139"/>
      <x:c r="P47" s="139"/>
    </x:row>
    <x:row r="48">
      <x:c r="A48" s="150" t="str">
        <x:v>触发／成本</x:v>
      </x:c>
      <x:c r="B48" s="127" t="str">
        <x:v>主要动作｜真名解放</x:v>
      </x:c>
      <x:c r="C48" s="127"/>
      <x:c r="D48" s="127"/>
      <x:c r="E48" s="247"/>
      <x:c r="F48" s="58" t="str">
        <x:v>抵抗DC</x:v>
      </x:c>
      <x:c r="G48" s="137" t="n">
        <x:f>10+L11+IFERROR(VLOOKUP(B45,'规则数据'!$O$13:$S$17,2,FALSE),0)</x:f>
        <x:v>14</x:v>
      </x:c>
      <x:c r="H48" s="58" t="str">
        <x:v>10＋魔力＋阶位加值</x:v>
      </x:c>
      <x:c r="I48" s="58"/>
      <x:c r="J48" s="247"/>
      <x:c r="K48" s="139"/>
      <x:c r="L48" s="139"/>
      <x:c r="M48" s="139"/>
      <x:c r="N48" s="139"/>
      <x:c r="O48" s="139"/>
      <x:c r="P48" s="139"/>
    </x:row>
    <x:row r="49">
      <x:c r="A49" s="150" t="str">
        <x:v>额外触发／代价</x:v>
      </x:c>
      <x:c r="B49" s="127" t="str">
        <x:v>直线瞄准标记；A阶必须额外填写</x:v>
      </x:c>
      <x:c r="C49" s="127"/>
      <x:c r="D49" s="127"/>
      <x:c r="E49" s="247"/>
      <x:c r="F49" s="58" t="str">
        <x:v>技能预算</x:v>
      </x:c>
      <x:c r="G49" s="137" t="n">
        <x:f>IFERROR(VLOOKUP(B45,'规则数据'!$O$13:$S$17,5,FALSE),0)</x:f>
        <x:v>7</x:v>
      </x:c>
      <x:c r="H49" s="58" t="str">
        <x:v>宝具越高，技能预算越低</x:v>
      </x:c>
      <x:c r="I49" s="58"/>
      <x:c r="J49" s="247"/>
      <x:c r="K49" s="139"/>
      <x:c r="L49" s="139"/>
      <x:c r="M49" s="139"/>
      <x:c r="N49" s="139"/>
      <x:c r="O49" s="139"/>
      <x:c r="P49" s="139"/>
    </x:row>
    <x:row r="50">
      <x:c r="A50" s="150" t="str">
        <x:v>效果／反制</x:v>
      </x:c>
      <x:c r="B50" s="127" t="str">
        <x:v>远距区域攻击；离开直线、破坏标记或同级防御可反制</x:v>
      </x:c>
      <x:c r="C50" s="127"/>
      <x:c r="D50" s="127"/>
      <x:c r="E50" s="247"/>
      <x:c r="F50" s="58" t="str">
        <x:v>宝具状态</x:v>
      </x:c>
      <x:c r="G50" s="137" t="str">
        <x:f>IF(AND(B47&lt;&gt;"",B48&lt;&gt;"",B50&lt;&gt;"",IF(B45="A",B49&lt;&gt;"",TRUE)),"通过","不合法")</x:f>
        <x:v>通过</x:v>
      </x:c>
      <x:c r="H50" s="58" t="str">
        <x:v>A阶需额外触发／代价</x:v>
      </x:c>
      <x:c r="I50" s="58"/>
      <x:c r="J50" s="247"/>
      <x:c r="K50" s="139"/>
      <x:c r="L50" s="139"/>
      <x:c r="M50" s="139"/>
      <x:c r="N50" s="139"/>
      <x:c r="O50" s="139"/>
      <x:c r="P50" s="139"/>
    </x:row>
    <x:row r="51">
      <x:c r="A51" s="247"/>
      <x:c r="B51" s="247"/>
      <x:c r="C51" s="247"/>
      <x:c r="D51" s="247"/>
      <x:c r="E51" s="247"/>
      <x:c r="F51" s="247"/>
      <x:c r="G51" s="247"/>
      <x:c r="H51" s="247"/>
      <x:c r="I51" s="247"/>
      <x:c r="J51" s="247"/>
      <x:c r="K51" s="247"/>
      <x:c r="L51" s="247"/>
      <x:c r="M51" s="247"/>
      <x:c r="N51" s="247"/>
      <x:c r="O51" s="247"/>
      <x:c r="P51" s="247"/>
    </x:row>
    <x:row r="52" ht="24" customHeight="1">
      <x:c r="A52" s="82" t="str">
        <x:v>概念弱点与幸运校验</x:v>
      </x:c>
      <x:c r="B52" s="83"/>
      <x:c r="C52" s="83"/>
      <x:c r="D52" s="83"/>
      <x:c r="E52" s="83"/>
      <x:c r="F52" s="83"/>
      <x:c r="G52" s="83"/>
      <x:c r="H52" s="83"/>
      <x:c r="I52" s="83"/>
      <x:c r="J52" s="83"/>
      <x:c r="K52" s="83"/>
      <x:c r="L52" s="83"/>
      <x:c r="M52" s="83"/>
      <x:c r="N52" s="83"/>
      <x:c r="O52" s="83"/>
      <x:c r="P52" s="84"/>
    </x:row>
    <x:row r="53">
      <x:c r="A53" s="229" t="str">
        <x:v>概念弱点1</x:v>
      </x:c>
      <x:c r="B53" s="127" t="str">
        <x:v>违背守门誓约时失去防护</x:v>
      </x:c>
      <x:c r="C53" s="127"/>
      <x:c r="D53" s="127"/>
      <x:c r="E53" s="247"/>
      <x:c r="F53" s="88" t="str">
        <x:v>幸运检查</x:v>
      </x:c>
      <x:c r="G53" s="139" t="str">
        <x:f>IF(B10="A",IF(AND(B11="是",B55&lt;&gt;""),"通过","不合法"),IF(B10="B",IF(IF(F39&lt;=2,1,0)+IF(F40&lt;=2,1,0)+IF(F41&lt;=2,1,0)&gt;=2,"通过","不合法"),"通过"))</x:f>
        <x:v>通过</x:v>
      </x:c>
      <x:c r="H53" s="139"/>
      <x:c r="I53" s="139"/>
      <x:c r="J53" s="139"/>
      <x:c r="K53" s="139"/>
      <x:c r="L53" s="139"/>
      <x:c r="M53" s="139"/>
      <x:c r="N53" s="139"/>
      <x:c r="O53" s="139"/>
      <x:c r="P53" s="139"/>
    </x:row>
    <x:row r="54">
      <x:c r="A54" s="229" t="str">
        <x:v>概念弱点2</x:v>
      </x:c>
      <x:c r="B54" s="127" t="str">
        <x:v>被允许通过者不能在同场景再次阻挡</x:v>
      </x:c>
      <x:c r="C54" s="127"/>
      <x:c r="D54" s="127"/>
      <x:c r="E54" s="247"/>
      <x:c r="F54" s="229" t="str">
        <x:v>规则</x:v>
      </x:c>
      <x:c r="G54" s="139" t="str">
        <x:f>IF(B10="A","需主持许可＋第三弱点",IF(B10="B","至少两项保有技能不得高于C","D／C可直接选择"))</x:f>
        <x:v>D／C可直接选择</x:v>
      </x:c>
      <x:c r="H54" s="139"/>
      <x:c r="I54" s="139"/>
      <x:c r="J54" s="139"/>
      <x:c r="K54" s="139"/>
      <x:c r="L54" s="139"/>
      <x:c r="M54" s="139"/>
      <x:c r="N54" s="139"/>
      <x:c r="O54" s="139"/>
      <x:c r="P54" s="139"/>
    </x:row>
    <x:row r="55">
      <x:c r="A55" s="229" t="str">
        <x:v>概念弱点3</x:v>
      </x:c>
      <x:c r="B55" s="127" t="str">
        <x:v>幸运A时必须额外填写</x:v>
      </x:c>
      <x:c r="C55" s="127"/>
      <x:c r="D55" s="127"/>
      <x:c r="E55" s="247"/>
      <x:c r="F55" s="88" t="str">
        <x:v>总检查</x:v>
      </x:c>
      <x:c r="G55" s="139" t="str">
        <x:f>IF(AND(G53="通过",B53&lt;&gt;"",B54&lt;&gt;""),"通过","不合法")</x:f>
        <x:v>通过</x:v>
      </x:c>
      <x:c r="H55" s="139"/>
      <x:c r="I55" s="139"/>
      <x:c r="J55" s="139"/>
      <x:c r="K55" s="139"/>
      <x:c r="L55" s="139"/>
      <x:c r="M55" s="139"/>
      <x:c r="N55" s="139"/>
      <x:c r="O55" s="139"/>
      <x:c r="P55" s="139"/>
    </x:row>
  </x:sheetData>
  <x:mergeCells>
    <x:mergeCell ref="A1:P1"/>
    <x:mergeCell ref="A2:P2"/>
    <x:mergeCell ref="A3:D3"/>
    <x:mergeCell ref="B4:D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B17:D17"/>
    <x:mergeCell ref="B18:D18"/>
    <x:mergeCell ref="A19:D19"/>
    <x:mergeCell ref="F12:I12"/>
    <x:mergeCell ref="K12:L12"/>
    <x:mergeCell ref="N3:P3"/>
    <x:mergeCell ref="N13:P13"/>
    <x:mergeCell ref="O14:P14"/>
    <x:mergeCell ref="O17:P17"/>
    <x:mergeCell ref="O18:P18"/>
    <x:mergeCell ref="A33:C33"/>
    <x:mergeCell ref="A37:P37"/>
    <x:mergeCell ref="B38:D38"/>
    <x:mergeCell ref="G38:I38"/>
    <x:mergeCell ref="J38:L38"/>
    <x:mergeCell ref="M38:P38"/>
    <x:mergeCell ref="B39:D39"/>
    <x:mergeCell ref="G39:I39"/>
    <x:mergeCell ref="J39:L39"/>
    <x:mergeCell ref="M39:P39"/>
    <x:mergeCell ref="B40:D40"/>
    <x:mergeCell ref="G40:I40"/>
    <x:mergeCell ref="J40:L40"/>
    <x:mergeCell ref="M40:P40"/>
    <x:mergeCell ref="B41:D41"/>
    <x:mergeCell ref="G41:I41"/>
    <x:mergeCell ref="J41:L41"/>
    <x:mergeCell ref="M41:P41"/>
    <x:mergeCell ref="A42:I42"/>
    <x:mergeCell ref="K42:M42"/>
    <x:mergeCell ref="N42:P42"/>
    <x:mergeCell ref="A44:P44"/>
    <x:mergeCell ref="B45:D45"/>
    <x:mergeCell ref="B46:D46"/>
    <x:mergeCell ref="B47:D47"/>
    <x:mergeCell ref="B48:D48"/>
    <x:mergeCell ref="B49:D49"/>
    <x:mergeCell ref="B50:D50"/>
    <x:mergeCell ref="H45:I45"/>
    <x:mergeCell ref="H46:I46"/>
    <x:mergeCell ref="H47:I47"/>
    <x:mergeCell ref="H48:I48"/>
    <x:mergeCell ref="H49:I49"/>
    <x:mergeCell ref="H50:I50"/>
    <x:mergeCell ref="K45:P45"/>
    <x:mergeCell ref="K46:P50"/>
    <x:mergeCell ref="A52:P52"/>
    <x:mergeCell ref="B53:D53"/>
    <x:mergeCell ref="B54:D54"/>
    <x:mergeCell ref="B55:D55"/>
    <x:mergeCell ref="G53:P53"/>
    <x:mergeCell ref="G54:P54"/>
    <x:mergeCell ref="G55:P55"/>
  </x:mergeCells>
  <x:conditionalFormatting sqref="M12:M12">
    <x:cfRule type="containsText" dxfId="70" priority="1" operator="containsText" text="合法"/>
    <x:cfRule type="containsText" dxfId="71" priority="2" operator="containsText" text="通过"/>
    <x:cfRule type="containsText" dxfId="72" priority="3" operator="containsText" text="需要"/>
    <x:cfRule type="containsText" dxfId="73" priority="4" operator="containsText" text="确认"/>
    <x:cfRule type="containsText" dxfId="74" priority="5" operator="containsText" text="错误"/>
    <x:cfRule type="containsText" dxfId="75" priority="6" operator="containsText" text="不合法"/>
    <x:cfRule type="containsText" dxfId="76" priority="7" operator="containsText" text="超限"/>
  </x:conditionalFormatting>
  <x:conditionalFormatting sqref="P15:P16">
    <x:cfRule type="containsText" dxfId="77" priority="8" operator="containsText" text="合法"/>
    <x:cfRule type="containsText" dxfId="78" priority="9" operator="containsText" text="通过"/>
    <x:cfRule type="containsText" dxfId="79" priority="10" operator="containsText" text="需要"/>
    <x:cfRule type="containsText" dxfId="80" priority="11" operator="containsText" text="确认"/>
    <x:cfRule type="containsText" dxfId="81" priority="12" operator="containsText" text="错误"/>
    <x:cfRule type="containsText" dxfId="82" priority="13" operator="containsText" text="不合法"/>
    <x:cfRule type="containsText" dxfId="83" priority="14" operator="containsText" text="超限"/>
  </x:conditionalFormatting>
  <x:conditionalFormatting sqref="O18:P18">
    <x:cfRule type="containsText" dxfId="84" priority="15" operator="containsText" text="合法"/>
    <x:cfRule type="containsText" dxfId="85" priority="16" operator="containsText" text="通过"/>
    <x:cfRule type="containsText" dxfId="86" priority="17" operator="containsText" text="需要"/>
    <x:cfRule type="containsText" dxfId="87" priority="18" operator="containsText" text="确认"/>
    <x:cfRule type="containsText" dxfId="88" priority="19" operator="containsText" text="错误"/>
    <x:cfRule type="containsText" dxfId="89" priority="20" operator="containsText" text="不合法"/>
    <x:cfRule type="containsText" dxfId="90" priority="21" operator="containsText" text="超限"/>
  </x:conditionalFormatting>
  <x:conditionalFormatting sqref="N42:P42">
    <x:cfRule type="containsText" dxfId="91" priority="22" operator="containsText" text="合法"/>
    <x:cfRule type="containsText" dxfId="92" priority="23" operator="containsText" text="通过"/>
    <x:cfRule type="containsText" dxfId="93" priority="24" operator="containsText" text="需要"/>
    <x:cfRule type="containsText" dxfId="94" priority="25" operator="containsText" text="确认"/>
    <x:cfRule type="containsText" dxfId="95" priority="26" operator="containsText" text="错误"/>
    <x:cfRule type="containsText" dxfId="96" priority="27" operator="containsText" text="不合法"/>
    <x:cfRule type="containsText" dxfId="97" priority="28" operator="containsText" text="超限"/>
  </x:conditionalFormatting>
  <x:conditionalFormatting sqref="G50:G50">
    <x:cfRule type="containsText" dxfId="98" priority="29" operator="containsText" text="合法"/>
    <x:cfRule type="containsText" dxfId="99" priority="30" operator="containsText" text="通过"/>
    <x:cfRule type="containsText" dxfId="100" priority="31" operator="containsText" text="需要"/>
    <x:cfRule type="containsText" dxfId="101" priority="32" operator="containsText" text="确认"/>
    <x:cfRule type="containsText" dxfId="102" priority="33" operator="containsText" text="错误"/>
    <x:cfRule type="containsText" dxfId="103" priority="34" operator="containsText" text="不合法"/>
    <x:cfRule type="containsText" dxfId="104" priority="35" operator="containsText" text="超限"/>
  </x:conditionalFormatting>
  <x:conditionalFormatting sqref="G53:G55">
    <x:cfRule type="containsText" dxfId="105" priority="36" operator="containsText" text="合法"/>
    <x:cfRule type="containsText" dxfId="106" priority="37" operator="containsText" text="通过"/>
    <x:cfRule type="containsText" dxfId="107" priority="38" operator="containsText" text="需要"/>
    <x:cfRule type="containsText" dxfId="108" priority="39" operator="containsText" text="确认"/>
    <x:cfRule type="containsText" dxfId="109" priority="40" operator="containsText" text="错误"/>
    <x:cfRule type="containsText" dxfId="110" priority="41" operator="containsText" text="不合法"/>
    <x:cfRule type="containsText" dxfId="111" priority="42" operator="containsText" text="超限"/>
  </x:conditionalFormatting>
  <x:dataValidations count="14">
    <x:dataValidation type="list" sqref="B8:D8">
      <x:formula1>"Saber,Archer,Lancer,Rider,Caster,Assassin,Berserker"</x:formula1>
    </x:dataValidation>
    <x:dataValidation type="list" sqref="B10:D10">
      <x:formula1>"D,C,B,A"</x:formula1>
    </x:dataValidation>
    <x:dataValidation type="list" sqref="B11:D11">
      <x:formula1>"否,是"</x:formula1>
    </x:dataValidation>
    <x:dataValidation type="list" sqref="B12:D12">
      <x:formula1>"职阶推荐模板,自由30点,自由30点＋硬容器"</x:formula1>
    </x:dataValidation>
    <x:dataValidation type="list" sqref="B15:D15">
      <x:formula1>"叙事相性,战术相性"</x:formula1>
    </x:dataValidation>
    <x:dataValidation type="list" sqref="B16:D16">
      <x:formula1>"Saber,Archer,Lancer,Rider,Caster,Assassin,Berserker"</x:formula1>
    </x:dataValidation>
    <x:dataValidation type="list" sqref="B17:D17">
      <x:formula1>"否,是"</x:formula1>
    </x:dataValidation>
    <x:dataValidation type="list" sqref="G5:G11">
      <x:formula1>"E,D,C,B,A"</x:formula1>
    </x:dataValidation>
    <x:dataValidation type="list" sqref="B21:B32">
      <x:formula1>"未受训,受训,专家"</x:formula1>
    </x:dataValidation>
    <x:dataValidation type="list" sqref="E39">
      <x:formula1>"E,D,C,B,A"</x:formula1>
    </x:dataValidation>
    <x:dataValidation type="list" sqref="E40">
      <x:formula1>"E,D,C,B,A"</x:formula1>
    </x:dataValidation>
    <x:dataValidation type="list" sqref="E41">
      <x:formula1>"E,D,C,B,A"</x:formula1>
    </x:dataValidation>
    <x:dataValidation type="list" sqref="B45:D45">
      <x:formula1>"E,D,C,B,A"</x:formula1>
    </x:dataValidation>
    <x:dataValidation type="list" sqref="B46:D46">
      <x:formula1>"对人,对军,对城／对堡,结界／支援,概念／特殊"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3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3" hidden="0" customWidth="1"/>
    <x:col min="11" max="11" width="18" hidden="0" customWidth="1"/>
    <x:col min="12" max="12" width="32" hidden="0" customWidth="1"/>
  </x:cols>
  <x:sheetData>
    <x:row r="1" ht="34" customHeight="1">
      <x:c r="A1" s="141" t="str">
        <x:v>御主与契约模块</x:v>
      </x:c>
      <x:c r="B1" s="141"/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</x:row>
    <x:row r="2" ht="22" customHeight="1">
      <x:c r="A2" s="144" t="str">
        <x:v>御主附加在普通人或魔术师之上；供魔等级会回写从者最大MP。</x:v>
      </x:c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</x:row>
    <x:row r="3" ht="24" customHeight="1">
      <x:c r="A3" s="50" t="str">
        <x:v>契约字段</x:v>
      </x:c>
      <x:c r="B3" s="51"/>
      <x:c r="C3" s="51"/>
      <x:c r="D3" s="52"/>
      <x:c r="E3" s="247"/>
      <x:c r="F3" s="109" t="str">
        <x:v>供魔与契约计算</x:v>
      </x:c>
      <x:c r="G3" s="180"/>
      <x:c r="H3" s="180"/>
      <x:c r="I3" s="110"/>
      <x:c r="J3" s="247"/>
      <x:c r="K3" s="82" t="str">
        <x:v>三画令咒</x:v>
      </x:c>
      <x:c r="L3" s="84"/>
    </x:row>
    <x:row r="4">
      <x:c r="A4" s="58" t="str">
        <x:v>御主身份</x:v>
      </x:c>
      <x:c r="B4" s="127" t="str">
        <x:v>魔术师</x:v>
      </x:c>
      <x:c r="C4" s="127"/>
      <x:c r="D4" s="127"/>
      <x:c r="E4" s="247"/>
      <x:c r="F4" s="177" t="str">
        <x:v>项目</x:v>
      </x:c>
      <x:c r="G4" s="177" t="str">
        <x:v>当前值</x:v>
      </x:c>
      <x:c r="H4" s="177" t="str">
        <x:v>公式／限制</x:v>
      </x:c>
      <x:c r="I4" s="177" t="str">
        <x:v>状态</x:v>
      </x:c>
      <x:c r="J4" s="247"/>
      <x:c r="K4" s="88" t="str">
        <x:v>令咒</x:v>
      </x:c>
      <x:c r="L4" s="88" t="str">
        <x:v>状态</x:v>
      </x:c>
    </x:row>
    <x:row r="5">
      <x:c r="A5" s="58" t="str">
        <x:v>御主名称</x:v>
      </x:c>
      <x:c r="B5" s="127" t="str">
        <x:v>未命名御主</x:v>
      </x:c>
      <x:c r="C5" s="127"/>
      <x:c r="D5" s="127"/>
      <x:c r="E5" s="247"/>
      <x:c r="F5" s="26" t="str">
        <x:v>供魔修正</x:v>
      </x:c>
      <x:c r="G5" s="137" t="n">
        <x:f>IFERROR(VLOOKUP(B6,'规则数据'!$K$13:$M$16,2,FALSE),0)</x:f>
        <x:v>0</x:v>
      </x:c>
      <x:c r="H5" s="26" t="str">
        <x:v>-2／0／+2</x:v>
      </x:c>
      <x:c r="I5" s="137"/>
      <x:c r="J5" s="247"/>
      <x:c r="K5" s="213" t="str">
        <x:v>第一画</x:v>
      </x:c>
      <x:c r="L5" s="127" t="str">
        <x:v>可用</x:v>
      </x:c>
    </x:row>
    <x:row r="6">
      <x:c r="A6" s="58" t="str">
        <x:v>供魔等级</x:v>
      </x:c>
      <x:c r="B6" s="127" t="str">
        <x:v>稳定</x:v>
      </x:c>
      <x:c r="C6" s="127"/>
      <x:c r="D6" s="127"/>
      <x:c r="E6" s="247"/>
      <x:c r="F6" s="26" t="str">
        <x:v>供魔说明</x:v>
      </x:c>
      <x:c r="G6" s="137" t="str">
        <x:f>IFERROR(VLOOKUP(B6,'规则数据'!$K$13:$M$16,3,FALSE),"")</x:f>
        <x:v>无额外修正。</x:v>
      </x:c>
      <x:c r="H6" s="26" t="str">
        <x:v>按等级处理</x:v>
      </x:c>
      <x:c r="I6" s="137"/>
      <x:c r="J6" s="247"/>
      <x:c r="K6" s="213" t="str">
        <x:v>第二画</x:v>
      </x:c>
      <x:c r="L6" s="127" t="str">
        <x:v>可用</x:v>
      </x:c>
    </x:row>
    <x:row r="7">
      <x:c r="A7" s="58" t="str">
        <x:v>通信距离</x:v>
      </x:c>
      <x:c r="B7" s="127" t="str">
        <x:v>同城／远距</x:v>
      </x:c>
      <x:c r="C7" s="127"/>
      <x:c r="D7" s="127"/>
      <x:c r="E7" s="247"/>
      <x:c r="F7" s="26" t="str">
        <x:v>通信</x:v>
      </x:c>
      <x:c r="G7" s="137" t="str">
        <x:f>B7</x:f>
        <x:v>同城／远距</x:v>
      </x:c>
      <x:c r="H7" s="26" t="str">
        <x:v>远距需DC13</x:v>
      </x:c>
      <x:c r="I7" s="137" t="str">
        <x:f>IF(B7="结界隔断／异空间","需确认","通过")</x:f>
        <x:v>通过</x:v>
      </x:c>
      <x:c r="J7" s="247"/>
      <x:c r="K7" s="213" t="str">
        <x:v>第三画</x:v>
      </x:c>
      <x:c r="L7" s="127" t="str">
        <x:v>可用</x:v>
      </x:c>
    </x:row>
    <x:row r="8">
      <x:c r="A8" s="58" t="str">
        <x:v>契约来源</x:v>
      </x:c>
      <x:c r="B8" s="127" t="str">
        <x:v>召唤仪式</x:v>
      </x:c>
      <x:c r="C8" s="127"/>
      <x:c r="D8" s="127"/>
      <x:c r="E8" s="247"/>
      <x:c r="F8" s="26" t="str">
        <x:v>契约解除</x:v>
      </x:c>
      <x:c r="G8" s="137" t="str">
        <x:f>B10</x:f>
        <x:v>双方同意或圣杯战争结束</x:v>
      </x:c>
      <x:c r="H8" s="26" t="str">
        <x:v>由战役框架裁定</x:v>
      </x:c>
      <x:c r="I8" s="137" t="str">
        <x:f>IF(B10&lt;&gt;"","通过","需要填写")</x:f>
        <x:v>通过</x:v>
      </x:c>
      <x:c r="J8" s="247"/>
      <x:c r="K8" s="247"/>
      <x:c r="L8" s="247"/>
    </x:row>
    <x:row r="9">
      <x:c r="A9" s="58" t="str">
        <x:v>公开称谓／真名</x:v>
      </x:c>
      <x:c r="B9" s="127" t="str">
        <x:v>未公开</x:v>
      </x:c>
      <x:c r="C9" s="127"/>
      <x:c r="D9" s="127"/>
      <x:c r="E9" s="247"/>
      <x:c r="F9" s="26" t="str">
        <x:v>命令边界</x:v>
      </x:c>
      <x:c r="G9" s="137" t="str">
        <x:f>B11&amp;"／"&amp;B12</x:f>
        <x:v>伤害无辜者／背弃核心誓约</x:v>
      </x:c>
      <x:c r="H9" s="26" t="str">
        <x:v>需开团同意</x:v>
      </x:c>
      <x:c r="I9" s="137" t="str">
        <x:f>IF(AND(B11&lt;&gt;"",B12&lt;&gt;""),"通过","需要填写")</x:f>
        <x:v>通过</x:v>
      </x:c>
      <x:c r="J9" s="247"/>
      <x:c r="K9" s="56" t="str">
        <x:v>支援动作</x:v>
      </x:c>
      <x:c r="L9" s="56" t="str">
        <x:v>效果</x:v>
      </x:c>
    </x:row>
    <x:row r="10">
      <x:c r="A10" s="58" t="str">
        <x:v>解除条件</x:v>
      </x:c>
      <x:c r="B10" s="127" t="str">
        <x:v>双方同意或圣杯战争结束</x:v>
      </x:c>
      <x:c r="C10" s="127"/>
      <x:c r="D10" s="127"/>
      <x:c r="E10" s="247"/>
      <x:c r="F10" s="26" t="str">
        <x:v>契约状态</x:v>
      </x:c>
      <x:c r="G10" s="137" t="str">
        <x:f>IF(COUNTA(B4:B13)&gt;=10,"完整","未完成")</x:f>
        <x:v>完整</x:v>
      </x:c>
      <x:c r="H10" s="26" t="str">
        <x:v>字段完整</x:v>
      </x:c>
      <x:c r="I10" s="137" t="str">
        <x:f>IF(AND(I8="通过",I9="通过"),"通过","需要处理")</x:f>
        <x:v>通过</x:v>
      </x:c>
      <x:c r="J10" s="247"/>
      <x:c r="K10" s="150" t="str">
        <x:v>战术指令</x:v>
      </x:c>
      <x:c r="L10" s="150" t="str">
        <x:v>从者下一次检定+1</x:v>
      </x:c>
    </x:row>
    <x:row r="11">
      <x:c r="A11" s="58" t="str">
        <x:v>御主不会下达的命令</x:v>
      </x:c>
      <x:c r="B11" s="127" t="str">
        <x:v>伤害无辜者</x:v>
      </x:c>
      <x:c r="C11" s="127"/>
      <x:c r="D11" s="127"/>
      <x:c r="E11" s="247"/>
      <x:c r="F11" s="247"/>
      <x:c r="G11" s="247"/>
      <x:c r="H11" s="247"/>
      <x:c r="I11" s="247"/>
      <x:c r="J11" s="247"/>
      <x:c r="K11" s="150" t="str">
        <x:v>集中支援</x:v>
      </x:c>
      <x:c r="L11" s="150" t="str">
        <x:v>从者下一次检定优势</x:v>
      </x:c>
    </x:row>
    <x:row r="12">
      <x:c r="A12" s="58" t="str">
        <x:v>从者不会接受的命令</x:v>
      </x:c>
      <x:c r="B12" s="127" t="str">
        <x:v>背弃核心誓约</x:v>
      </x:c>
      <x:c r="C12" s="127"/>
      <x:c r="D12" s="127"/>
      <x:c r="E12" s="247"/>
      <x:c r="F12" s="247"/>
      <x:c r="G12" s="247"/>
      <x:c r="H12" s="247"/>
      <x:c r="I12" s="247"/>
      <x:c r="J12" s="247"/>
      <x:c r="K12" s="150" t="str">
        <x:v>供魔</x:v>
      </x:c>
      <x:c r="L12" s="150" t="str">
        <x:v>御主1MP或2生命→从者恢复2MP</x:v>
      </x:c>
    </x:row>
    <x:row r="13">
      <x:c r="A13" s="58" t="str">
        <x:v>框架特殊规则</x:v>
      </x:c>
      <x:c r="B13" s="127" t="str">
        <x:v>无</x:v>
      </x:c>
      <x:c r="C13" s="127"/>
      <x:c r="D13" s="127"/>
      <x:c r="E13" s="247"/>
      <x:c r="F13" s="247"/>
      <x:c r="G13" s="247"/>
      <x:c r="H13" s="247"/>
      <x:c r="I13" s="247"/>
      <x:c r="J13" s="247"/>
      <x:c r="K13" s="247"/>
      <x:c r="L13" s="247"/>
    </x:row>
    <x:row r="14">
      <x:c r="A14" s="247"/>
      <x:c r="B14" s="247"/>
      <x:c r="C14" s="247"/>
      <x:c r="D14" s="247"/>
      <x:c r="E14" s="247"/>
      <x:c r="F14" s="247"/>
      <x:c r="G14" s="247"/>
      <x:c r="H14" s="247"/>
      <x:c r="I14" s="247"/>
      <x:c r="J14" s="247"/>
      <x:c r="K14" s="247"/>
      <x:c r="L14" s="247"/>
    </x:row>
    <x:row r="15" ht="24" customHeight="1">
      <x:c r="A15" s="50" t="str">
        <x:v>契约合法性</x:v>
      </x:c>
      <x:c r="B15" s="51"/>
      <x:c r="C15" s="51"/>
      <x:c r="D15" s="51"/>
      <x:c r="E15" s="51"/>
      <x:c r="F15" s="51"/>
      <x:c r="G15" s="51"/>
      <x:c r="H15" s="51"/>
      <x:c r="I15" s="52"/>
      <x:c r="J15" s="247"/>
      <x:c r="K15" s="247"/>
      <x:c r="L15" s="247"/>
    </x:row>
    <x:row r="16">
      <x:c r="A16" s="223" t="str">
        <x:v>御主字段、供魔与命令边界已填写</x:v>
      </x:c>
      <x:c r="B16" s="224"/>
      <x:c r="C16" s="224"/>
      <x:c r="D16" s="224"/>
      <x:c r="E16" s="225"/>
      <x:c r="F16" s="137" t="str">
        <x:f>IF(AND(B4&lt;&gt;"",B5&lt;&gt;"",B6&lt;&gt;"",B8&lt;&gt;"",B10&lt;&gt;"",B11&lt;&gt;"",B12&lt;&gt;""),"合法","需要处理")</x:f>
        <x:v>合法</x:v>
      </x:c>
      <x:c r="G16" s="137"/>
      <x:c r="H16" s="137"/>
      <x:c r="I16" s="137"/>
      <x:c r="J16" s="247"/>
      <x:c r="K16" s="247"/>
      <x:c r="L16" s="247"/>
    </x:row>
  </x:sheetData>
  <x:mergeCells>
    <x:mergeCell ref="A1:L1"/>
    <x:mergeCell ref="A2:L2"/>
    <x:mergeCell ref="A3:D3"/>
    <x:mergeCell ref="B4:D4"/>
    <x:mergeCell ref="B5:D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F3:I3"/>
    <x:mergeCell ref="G6:I6"/>
    <x:mergeCell ref="K3:L3"/>
    <x:mergeCell ref="A15:I15"/>
    <x:mergeCell ref="A16:E16"/>
    <x:mergeCell ref="F16:I16"/>
  </x:mergeCells>
  <x:conditionalFormatting sqref="I5:I10">
    <x:cfRule type="containsText" dxfId="56" priority="1" operator="containsText" text="合法"/>
    <x:cfRule type="containsText" dxfId="57" priority="2" operator="containsText" text="通过"/>
    <x:cfRule type="containsText" dxfId="58" priority="3" operator="containsText" text="需要"/>
    <x:cfRule type="containsText" dxfId="59" priority="4" operator="containsText" text="确认"/>
    <x:cfRule type="containsText" dxfId="60" priority="5" operator="containsText" text="错误"/>
    <x:cfRule type="containsText" dxfId="61" priority="6" operator="containsText" text="不合法"/>
    <x:cfRule type="containsText" dxfId="62" priority="7" operator="containsText" text="超限"/>
  </x:conditionalFormatting>
  <x:conditionalFormatting sqref="F16:I16">
    <x:cfRule type="containsText" dxfId="63" priority="8" operator="containsText" text="合法"/>
    <x:cfRule type="containsText" dxfId="64" priority="9" operator="containsText" text="通过"/>
    <x:cfRule type="containsText" dxfId="65" priority="10" operator="containsText" text="需要"/>
    <x:cfRule type="containsText" dxfId="66" priority="11" operator="containsText" text="确认"/>
    <x:cfRule type="containsText" dxfId="67" priority="12" operator="containsText" text="错误"/>
    <x:cfRule type="containsText" dxfId="68" priority="13" operator="containsText" text="不合法"/>
    <x:cfRule type="containsText" dxfId="69" priority="14" operator="containsText" text="超限"/>
  </x:conditionalFormatting>
  <x:dataValidations count="4">
    <x:dataValidation type="list" sqref="B4:D4">
      <x:formula1>"普通人,魔术师"</x:formula1>
    </x:dataValidation>
    <x:dataValidation type="list" sqref="B6:D6">
      <x:formula1>"不足,稳定,充足,系统供给"</x:formula1>
    </x:dataValidation>
    <x:dataValidation type="list" sqref="B7:D7">
      <x:formula1>"同一场景,同城／远距,结界隔断／异空间"</x:formula1>
    </x:dataValidation>
    <x:dataValidation type="list" sqref="L5:L7">
      <x:formula1>"可用,已使用"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165" t="str">
        <x:f>'普通人构筑'!$B$5&amp;"｜普通人角色卡"</x:f>
        <x:v>未命名角色｜普通人角色卡</x:v>
      </x:c>
      <x:c r="B1" s="165"/>
      <x:c r="C1" s="165"/>
      <x:c r="D1" s="165"/>
      <x:c r="E1" s="165"/>
      <x:c r="F1" s="165"/>
      <x:c r="G1" s="165"/>
      <x:c r="H1" s="165"/>
      <x:c r="I1" s="165"/>
      <x:c r="J1" s="165"/>
      <x:c r="K1" s="165"/>
    </x:row>
    <x:row r="2">
      <x:c r="A2" s="165"/>
      <x:c r="B2" s="165"/>
      <x:c r="C2" s="165"/>
      <x:c r="D2" s="165"/>
      <x:c r="E2" s="165"/>
      <x:c r="F2" s="165"/>
      <x:c r="G2" s="165"/>
      <x:c r="H2" s="165"/>
      <x:c r="I2" s="165"/>
      <x:c r="J2" s="165"/>
      <x:c r="K2" s="165"/>
    </x:row>
    <x:row r="3">
      <x:c r="A3" s="168" t="str">
        <x:v>打印卡仅显示构筑结果；请在对应构筑页修改淡蓝输入格。</x:v>
      </x:c>
      <x:c r="B3" s="168"/>
      <x:c r="C3" s="168"/>
      <x:c r="D3" s="168"/>
      <x:c r="E3" s="168"/>
      <x:c r="F3" s="168"/>
      <x:c r="G3" s="168"/>
      <x:c r="H3" s="168"/>
      <x:c r="I3" s="168"/>
      <x:c r="J3" s="168"/>
      <x:c r="K3" s="168"/>
    </x:row>
    <x:row r="4">
      <x:c r="A4" s="247"/>
      <x:c r="B4" s="247"/>
      <x:c r="C4" s="247"/>
      <x:c r="D4" s="247"/>
      <x:c r="E4" s="247"/>
      <x:c r="F4" s="247"/>
      <x:c r="G4" s="247"/>
      <x:c r="H4" s="247"/>
      <x:c r="I4" s="247"/>
      <x:c r="J4" s="247"/>
      <x:c r="K4" s="247"/>
    </x:row>
    <x:row r="5" ht="24" customHeight="1">
      <x:c r="A5" s="35" t="str">
        <x:v>身份与资源</x:v>
      </x:c>
      <x:c r="B5" s="36"/>
      <x:c r="C5" s="36"/>
      <x:c r="D5" s="37"/>
      <x:c r="E5" s="247"/>
      <x:c r="F5" s="35" t="str">
        <x:v>通用技能</x:v>
      </x:c>
      <x:c r="G5" s="36"/>
      <x:c r="H5" s="36"/>
      <x:c r="I5" s="36"/>
      <x:c r="J5" s="36"/>
      <x:c r="K5" s="37"/>
    </x:row>
    <x:row r="6">
      <x:c r="A6" s="58" t="str">
        <x:v>玩家</x:v>
      </x:c>
      <x:c r="B6" s="58" t="str">
        <x:f>'普通人构筑'!$B$4</x:f>
        <x:v>玩家</x:v>
      </x:c>
      <x:c r="C6" s="58"/>
      <x:c r="D6" s="58"/>
      <x:c r="E6" s="247"/>
      <x:c r="F6" s="41" t="str">
        <x:v>技能</x:v>
      </x:c>
      <x:c r="G6" s="41" t="str">
        <x:v>等级</x:v>
      </x:c>
      <x:c r="H6" s="41" t="str">
        <x:v>技能</x:v>
      </x:c>
      <x:c r="I6" s="41" t="str">
        <x:v>等级</x:v>
      </x:c>
      <x:c r="J6" s="41" t="str">
        <x:v>技能</x:v>
      </x:c>
      <x:c r="K6" s="41" t="str">
        <x:v>等级</x:v>
      </x:c>
    </x:row>
    <x:row r="7">
      <x:c r="A7" s="58" t="str">
        <x:v>概念</x:v>
      </x:c>
      <x:c r="B7" s="58" t="str">
        <x:f>'普通人构筑'!$B$6</x:f>
        <x:v>卷入圣杯战争的急诊医生</x:v>
      </x:c>
      <x:c r="C7" s="58"/>
      <x:c r="D7" s="58"/>
      <x:c r="E7" s="247"/>
      <x:c r="F7" s="26" t="str">
        <x:v>运动</x:v>
      </x:c>
      <x:c r="G7" s="26" t="str">
        <x:f>'普通人构筑'!$B$16</x:f>
        <x:v>受训</x:v>
      </x:c>
      <x:c r="H7" s="26" t="str">
        <x:v>侦查</x:v>
      </x:c>
      <x:c r="I7" s="26" t="str">
        <x:f>'普通人构筑'!$B$20</x:f>
        <x:v>受训</x:v>
      </x:c>
      <x:c r="J7" s="26" t="str">
        <x:v>医疗</x:v>
      </x:c>
      <x:c r="K7" s="26" t="str">
        <x:f>'普通人构筑'!$B$24</x:f>
        <x:v>专家</x:v>
      </x:c>
    </x:row>
    <x:row r="8">
      <x:c r="A8" s="58" t="str">
        <x:v>背景</x:v>
      </x:c>
      <x:c r="B8" s="58" t="str">
        <x:f>'普通人构筑'!$B$7</x:f>
        <x:v>医疗与照护</x:v>
      </x:c>
      <x:c r="C8" s="58"/>
      <x:c r="D8" s="58"/>
      <x:c r="E8" s="247"/>
      <x:c r="F8" s="26" t="str">
        <x:v>近战</x:v>
      </x:c>
      <x:c r="G8" s="26" t="str">
        <x:f>'普通人构筑'!$B$17</x:f>
        <x:v>未受训</x:v>
      </x:c>
      <x:c r="H8" s="26" t="str">
        <x:v>调查</x:v>
      </x:c>
      <x:c r="I8" s="26" t="str">
        <x:f>'普通人构筑'!$B$21</x:f>
        <x:v>受训</x:v>
      </x:c>
      <x:c r="J8" s="26" t="str">
        <x:v>魔术</x:v>
      </x:c>
      <x:c r="K8" s="26" t="str">
        <x:f>'普通人构筑'!$B$25</x:f>
        <x:v>未受训</x:v>
      </x:c>
    </x:row>
    <x:row r="9">
      <x:c r="A9" s="58" t="str">
        <x:v>现实优势</x:v>
      </x:c>
      <x:c r="B9" s="58" t="str">
        <x:f>'普通人构筑'!$B$8</x:f>
        <x:v>医疗</x:v>
      </x:c>
      <x:c r="C9" s="58"/>
      <x:c r="D9" s="58"/>
      <x:c r="E9" s="247"/>
      <x:c r="F9" s="26" t="str">
        <x:v>射击</x:v>
      </x:c>
      <x:c r="G9" s="26" t="str">
        <x:f>'普通人构筑'!$B$18</x:f>
        <x:v>未受训</x:v>
      </x:c>
      <x:c r="H9" s="26" t="str">
        <x:v>学术</x:v>
      </x:c>
      <x:c r="I9" s="26" t="str">
        <x:f>'普通人构筑'!$B$22</x:f>
        <x:v>未受训</x:v>
      </x:c>
      <x:c r="J9" s="26" t="str">
        <x:v>交涉</x:v>
      </x:c>
      <x:c r="K9" s="26" t="str">
        <x:f>'普通人构筑'!$B$26</x:f>
        <x:v>受训</x:v>
      </x:c>
    </x:row>
    <x:row r="10">
      <x:c r="A10" s="58" t="str">
        <x:v>联系人</x:v>
      </x:c>
      <x:c r="B10" s="58" t="str">
        <x:f>'普通人构筑'!$B$9</x:f>
        <x:v>护士长｜记者朋友</x:v>
      </x:c>
      <x:c r="C10" s="58"/>
      <x:c r="D10" s="58"/>
      <x:c r="E10" s="247"/>
      <x:c r="F10" s="26" t="str">
        <x:v>潜行</x:v>
      </x:c>
      <x:c r="G10" s="26" t="str">
        <x:f>'普通人构筑'!$B$19</x:f>
        <x:v>未受训</x:v>
      </x:c>
      <x:c r="H10" s="26" t="str">
        <x:v>技术</x:v>
      </x:c>
      <x:c r="I10" s="26" t="str">
        <x:f>'普通人构筑'!$B$23</x:f>
        <x:v>未受训</x:v>
      </x:c>
      <x:c r="J10" s="26" t="str">
        <x:v>指挥</x:v>
      </x:c>
      <x:c r="K10" s="26" t="str">
        <x:f>'普通人构筑'!$B$27</x:f>
        <x:v>未受训</x:v>
      </x:c>
    </x:row>
    <x:row r="11">
      <x:c r="A11" s="58" t="str">
        <x:v>装备</x:v>
      </x:c>
      <x:c r="B11" s="58" t="str">
        <x:f>'普通人构筑'!$B$10</x:f>
        <x:v>急救包｜手机</x:v>
      </x:c>
      <x:c r="C11" s="58"/>
      <x:c r="D11" s="58"/>
      <x:c r="E11" s="247"/>
      <x:c r="F11" s="247"/>
      <x:c r="G11" s="247"/>
      <x:c r="H11" s="247"/>
      <x:c r="I11" s="247"/>
      <x:c r="J11" s="247"/>
      <x:c r="K11" s="247"/>
    </x:row>
    <x:row r="12" ht="24" customHeight="1">
      <x:c r="A12" s="58" t="str">
        <x:v>安全地点</x:v>
      </x:c>
      <x:c r="B12" s="58" t="str">
        <x:f>'普通人构筑'!$B$11</x:f>
        <x:v>医院后勤通道</x:v>
      </x:c>
      <x:c r="C12" s="58"/>
      <x:c r="D12" s="58"/>
      <x:c r="E12" s="247"/>
      <x:c r="F12" s="67" t="str">
        <x:v>标志才能</x:v>
      </x:c>
      <x:c r="G12" s="68"/>
      <x:c r="H12" s="68"/>
      <x:c r="I12" s="68"/>
      <x:c r="J12" s="68"/>
      <x:c r="K12" s="69"/>
    </x:row>
    <x:row r="13">
      <x:c r="A13" s="247"/>
      <x:c r="B13" s="247"/>
      <x:c r="C13" s="247"/>
      <x:c r="D13" s="247"/>
      <x:c r="E13" s="247"/>
      <x:c r="F13" s="73" t="str">
        <x:v>名称</x:v>
      </x:c>
      <x:c r="G13" s="73"/>
      <x:c r="H13" s="139" t="str">
        <x:f>'普通人构筑'!$J$25</x:f>
        <x:v>黄金十分钟</x:v>
      </x:c>
      <x:c r="I13" s="139"/>
      <x:c r="J13" s="139"/>
      <x:c r="K13" s="139"/>
    </x:row>
    <x:row r="14" ht="24" customHeight="1">
      <x:c r="A14" s="109" t="str">
        <x:v>属性与派生</x:v>
      </x:c>
      <x:c r="B14" s="180"/>
      <x:c r="C14" s="180"/>
      <x:c r="D14" s="110"/>
      <x:c r="E14" s="247"/>
      <x:c r="F14" s="73" t="str">
        <x:v>触发</x:v>
      </x:c>
      <x:c r="G14" s="73"/>
      <x:c r="H14" s="139" t="str">
        <x:f>'普通人构筑'!$J$26</x:f>
        <x:v>主要动作｜每名目标每场一次</x:v>
      </x:c>
      <x:c r="I14" s="139"/>
      <x:c r="J14" s="139"/>
      <x:c r="K14" s="139"/>
    </x:row>
    <x:row r="15">
      <x:c r="A15" s="177" t="str">
        <x:v>属性</x:v>
      </x:c>
      <x:c r="B15" s="177" t="str">
        <x:v>阶位</x:v>
      </x:c>
      <x:c r="C15" s="177" t="str">
        <x:v>派生</x:v>
      </x:c>
      <x:c r="D15" s="177" t="str">
        <x:v>数值</x:v>
      </x:c>
      <x:c r="E15" s="247"/>
      <x:c r="F15" s="73" t="str">
        <x:v>成本</x:v>
      </x:c>
      <x:c r="G15" s="73"/>
      <x:c r="H15" s="139" t="str">
        <x:f>'普通人构筑'!$J$27</x:f>
        <x:v>学识＋医疗，对DC13</x:v>
      </x:c>
      <x:c r="I15" s="139"/>
      <x:c r="J15" s="139"/>
      <x:c r="K15" s="139"/>
    </x:row>
    <x:row r="16">
      <x:c r="A16" s="26" t="str">
        <x:v>体魄</x:v>
      </x:c>
      <x:c r="B16" s="26" t="str">
        <x:f>'普通人构筑'!$G$5</x:f>
        <x:v>D</x:v>
      </x:c>
      <x:c r="C16" s="26" t="str">
        <x:v>生命</x:v>
      </x:c>
      <x:c r="D16" s="26" t="n">
        <x:f>'普通人构筑'!$L8</x:f>
        <x:v>12</x:v>
      </x:c>
      <x:c r="E16" s="247"/>
      <x:c r="F16" s="73" t="str">
        <x:v>效果</x:v>
      </x:c>
      <x:c r="G16" s="73"/>
      <x:c r="H16" s="139" t="str">
        <x:f>'普通人构筑'!$J$28</x:f>
        <x:v>恢复3生命并移除流血；大成功再恢复2或立刻站起</x:v>
      </x:c>
      <x:c r="I16" s="139"/>
      <x:c r="J16" s="139"/>
      <x:c r="K16" s="139"/>
    </x:row>
    <x:row r="17">
      <x:c r="A17" s="26" t="str">
        <x:v>耐久</x:v>
      </x:c>
      <x:c r="B17" s="26" t="str">
        <x:f>'普通人构筑'!$G$6</x:f>
        <x:v>C</x:v>
      </x:c>
      <x:c r="C17" s="26" t="str">
        <x:v>回避</x:v>
      </x:c>
      <x:c r="D17" s="26" t="n">
        <x:f>'普通人构筑'!$L9</x:f>
        <x:v>11</x:v>
      </x:c>
      <x:c r="E17" s="247"/>
      <x:c r="F17" s="73" t="str">
        <x:v>反制</x:v>
      </x:c>
      <x:c r="G17" s="73"/>
      <x:c r="H17" s="139" t="str">
        <x:f>'普通人构筑'!$J$29</x:f>
        <x:v>失败不恢复但可稳定；差5以上物资耗尽</x:v>
      </x:c>
      <x:c r="I17" s="139"/>
      <x:c r="J17" s="139"/>
      <x:c r="K17" s="139"/>
    </x:row>
    <x:row r="18">
      <x:c r="A18" s="26" t="str">
        <x:v>灵巧</x:v>
      </x:c>
      <x:c r="B18" s="26" t="str">
        <x:f>'普通人构筑'!$G$7</x:f>
        <x:v>D</x:v>
      </x:c>
      <x:c r="C18" s="26" t="str">
        <x:v>坚韧</x:v>
      </x:c>
      <x:c r="D18" s="26" t="n">
        <x:f>'普通人构筑'!$L10</x:f>
        <x:v>12</x:v>
      </x:c>
      <x:c r="E18" s="247"/>
      <x:c r="F18" s="247"/>
      <x:c r="G18" s="247"/>
      <x:c r="H18" s="247"/>
      <x:c r="I18" s="247"/>
      <x:c r="J18" s="247"/>
      <x:c r="K18" s="247"/>
    </x:row>
    <x:row r="19" ht="24" customHeight="1">
      <x:c r="A19" s="26" t="str">
        <x:v>感知</x:v>
      </x:c>
      <x:c r="B19" s="26" t="str">
        <x:f>'普通人构筑'!$G$8</x:f>
        <x:v>C</x:v>
      </x:c>
      <x:c r="C19" s="26" t="str">
        <x:v>精神</x:v>
      </x:c>
      <x:c r="D19" s="26" t="n">
        <x:f>'普通人构筑'!$L11</x:f>
        <x:v>10</x:v>
      </x:c>
      <x:c r="E19" s="247"/>
      <x:c r="F19" s="35" t="str">
        <x:v>三项核心能力</x:v>
      </x:c>
      <x:c r="G19" s="36"/>
      <x:c r="H19" s="36"/>
      <x:c r="I19" s="36"/>
      <x:c r="J19" s="36"/>
      <x:c r="K19" s="37"/>
    </x:row>
    <x:row r="20">
      <x:c r="A20" s="26" t="str">
        <x:v>学识</x:v>
      </x:c>
      <x:c r="B20" s="26" t="str">
        <x:f>'普通人构筑'!$G$9</x:f>
        <x:v>B</x:v>
      </x:c>
      <x:c r="C20" s="26" t="str">
        <x:v>察觉</x:v>
      </x:c>
      <x:c r="D20" s="26" t="n">
        <x:f>'普通人构筑'!$L12</x:f>
        <x:v>12</x:v>
      </x:c>
      <x:c r="E20" s="247"/>
      <x:c r="F20" s="186" t="str">
        <x:v>专业判断</x:v>
      </x:c>
      <x:c r="G20" s="186" t="str">
        <x:v>职业足以直接完成常规任务时无需检定；有压力时照常检定。</x:v>
      </x:c>
      <x:c r="H20" s="186"/>
      <x:c r="I20" s="186"/>
      <x:c r="J20" s="186"/>
      <x:c r="K20" s="186"/>
    </x:row>
    <x:row r="21">
      <x:c r="A21" s="26" t="str">
        <x:v>意志</x:v>
      </x:c>
      <x:c r="B21" s="26" t="str">
        <x:f>'普通人构筑'!$G$10</x:f>
        <x:v>E</x:v>
      </x:c>
      <x:c r="C21" s="26" t="str">
        <x:v>决意</x:v>
      </x:c>
      <x:c r="D21" s="26" t="n">
        <x:v>3</x:v>
      </x:c>
      <x:c r="E21" s="247"/>
      <x:c r="F21" s="186" t="str">
        <x:v>现实准备</x:v>
      </x:c>
      <x:c r="G21" s="186" t="str">
        <x:v>每场一次声明合理工具、联系人、手续或路线。</x:v>
      </x:c>
      <x:c r="H21" s="186"/>
      <x:c r="I21" s="186"/>
      <x:c r="J21" s="186"/>
      <x:c r="K21" s="186"/>
    </x:row>
    <x:row r="22">
      <x:c r="A22" s="26" t="str">
        <x:v>魔力</x:v>
      </x:c>
      <x:c r="B22" s="26" t="str">
        <x:f>'普通人构筑'!$G$11</x:f>
        <x:v>E</x:v>
      </x:c>
      <x:c r="C22" s="26" t="str">
        <x:v>护甲</x:v>
      </x:c>
      <x:c r="D22" s="26" t="n">
        <x:v>0</x:v>
      </x:c>
      <x:c r="E22" s="247"/>
      <x:c r="F22" s="186" t="str">
        <x:v>人类韧性</x:v>
      </x:c>
      <x:c r="G22" s="186" t="str">
        <x:v>消耗1决意重掷、稳定或替相邻目标承伤。</x:v>
      </x:c>
      <x:c r="H22" s="186"/>
      <x:c r="I22" s="186"/>
      <x:c r="J22" s="186"/>
      <x:c r="K22" s="186"/>
    </x:row>
  </x:sheetData>
  <x:mergeCells>
    <x:mergeCell ref="A1:K2"/>
    <x:mergeCell ref="A3:K3"/>
    <x:mergeCell ref="A5:D5"/>
    <x:mergeCell ref="B6:D6"/>
    <x:mergeCell ref="B7:D7"/>
    <x:mergeCell ref="B8:D8"/>
    <x:mergeCell ref="B9:D9"/>
    <x:mergeCell ref="B10:D10"/>
    <x:mergeCell ref="B11:D11"/>
    <x:mergeCell ref="B12:D12"/>
    <x:mergeCell ref="A14:D14"/>
    <x:mergeCell ref="F5:K5"/>
    <x:mergeCell ref="F12:K12"/>
    <x:mergeCell ref="F13:G13"/>
    <x:mergeCell ref="F14:G14"/>
    <x:mergeCell ref="F15:G15"/>
    <x:mergeCell ref="F16:G16"/>
    <x:mergeCell ref="F17:G17"/>
    <x:mergeCell ref="H13:K13"/>
    <x:mergeCell ref="H14:K14"/>
    <x:mergeCell ref="H15:K15"/>
    <x:mergeCell ref="H16:K16"/>
    <x:mergeCell ref="H17:K17"/>
    <x:mergeCell ref="F19:K19"/>
    <x:mergeCell ref="G20:K20"/>
    <x:mergeCell ref="G21:K21"/>
    <x:mergeCell ref="G22:K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118" t="str">
        <x:f>'魔术师构筑'!$B$5&amp;"｜魔术师角色卡"</x:f>
        <x:v>未命名魔术师｜魔术师角色卡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</x:row>
    <x:row r="2">
      <x:c r="A2" s="118"/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</x:row>
    <x:row r="3">
      <x:c r="A3" s="121" t="str">
        <x:v>打印卡仅显示构筑结果；请在对应构筑页修改淡蓝输入格。</x:v>
      </x:c>
      <x:c r="B3" s="121"/>
      <x:c r="C3" s="121"/>
      <x:c r="D3" s="121"/>
      <x:c r="E3" s="121"/>
      <x:c r="F3" s="121"/>
      <x:c r="G3" s="121"/>
      <x:c r="H3" s="121"/>
      <x:c r="I3" s="121"/>
      <x:c r="J3" s="121"/>
      <x:c r="K3" s="121"/>
    </x:row>
    <x:row r="4">
      <x:c r="A4" s="247"/>
      <x:c r="B4" s="247"/>
      <x:c r="C4" s="247"/>
      <x:c r="D4" s="247"/>
      <x:c r="E4" s="247"/>
      <x:c r="F4" s="247"/>
      <x:c r="G4" s="247"/>
      <x:c r="H4" s="247"/>
      <x:c r="I4" s="247"/>
      <x:c r="J4" s="247"/>
      <x:c r="K4" s="247"/>
    </x:row>
    <x:row r="5" ht="24" customHeight="1">
      <x:c r="A5" s="193" t="str">
        <x:v>身份、系谱与派生</x:v>
      </x:c>
      <x:c r="B5" s="194"/>
      <x:c r="C5" s="194"/>
      <x:c r="D5" s="195"/>
      <x:c r="E5" s="247"/>
      <x:c r="F5" s="109" t="str">
        <x:v>属性</x:v>
      </x:c>
      <x:c r="G5" s="180"/>
      <x:c r="H5" s="180"/>
      <x:c r="I5" s="180"/>
      <x:c r="J5" s="180"/>
      <x:c r="K5" s="110"/>
    </x:row>
    <x:row r="6">
      <x:c r="A6" s="58" t="str">
        <x:v>玩家</x:v>
      </x:c>
      <x:c r="B6" s="58" t="str">
        <x:f>'魔术师构筑'!$B$4</x:f>
        <x:v>玩家</x:v>
      </x:c>
      <x:c r="C6" s="58"/>
      <x:c r="D6" s="58"/>
      <x:c r="E6" s="247"/>
      <x:c r="F6" s="177" t="str">
        <x:v>属性</x:v>
      </x:c>
      <x:c r="G6" s="177" t="str">
        <x:v>阶位</x:v>
      </x:c>
      <x:c r="H6" s="177" t="str">
        <x:v>属性</x:v>
      </x:c>
      <x:c r="I6" s="177" t="str">
        <x:v>阶位</x:v>
      </x:c>
      <x:c r="J6" s="177" t="str">
        <x:v>属性</x:v>
      </x:c>
      <x:c r="K6" s="177" t="str">
        <x:v>阶位</x:v>
      </x:c>
    </x:row>
    <x:row r="7">
      <x:c r="A7" s="58" t="str">
        <x:v>概念</x:v>
      </x:c>
      <x:c r="B7" s="58" t="str">
        <x:f>'魔术师构筑'!$B$6</x:f>
        <x:v>结界与灵脉工程师</x:v>
      </x:c>
      <x:c r="C7" s="58"/>
      <x:c r="D7" s="58"/>
      <x:c r="E7" s="247"/>
      <x:c r="F7" s="26" t="str">
        <x:v>体魄</x:v>
      </x:c>
      <x:c r="G7" s="26" t="str">
        <x:f>'魔术师构筑'!$G$5</x:f>
        <x:v>E</x:v>
      </x:c>
      <x:c r="H7" s="26" t="str">
        <x:v>感知</x:v>
      </x:c>
      <x:c r="I7" s="26" t="str">
        <x:f>'魔术师构筑'!$G$8</x:f>
        <x:v>C</x:v>
      </x:c>
      <x:c r="J7" s="26" t="str">
        <x:v>魔力</x:v>
      </x:c>
      <x:c r="K7" s="26" t="str">
        <x:f>'魔术师构筑'!$G$11</x:f>
        <x:v>D</x:v>
      </x:c>
    </x:row>
    <x:row r="8">
      <x:c r="A8" s="58" t="str">
        <x:v>系谱1</x:v>
      </x:c>
      <x:c r="B8" s="58" t="str">
        <x:f>'魔术师构筑'!$B$7</x:f>
        <x:v>结界系谱</x:v>
      </x:c>
      <x:c r="C8" s="58"/>
      <x:c r="D8" s="58"/>
      <x:c r="E8" s="247"/>
      <x:c r="F8" s="26" t="str">
        <x:v>耐久</x:v>
      </x:c>
      <x:c r="G8" s="26" t="str">
        <x:f>'魔术师构筑'!$G$6</x:f>
        <x:v>D</x:v>
      </x:c>
      <x:c r="H8" s="26" t="str">
        <x:v>学识</x:v>
      </x:c>
      <x:c r="I8" s="26" t="str">
        <x:f>'魔术师构筑'!$G$9</x:f>
        <x:v>B</x:v>
      </x:c>
      <x:c r="J8" s="26"/>
      <x:c r="K8" s="26"/>
    </x:row>
    <x:row r="9">
      <x:c r="A9" s="58" t="str">
        <x:v>系谱2</x:v>
      </x:c>
      <x:c r="B9" s="58" t="str">
        <x:f>'魔术师构筑'!$B$8</x:f>
        <x:v>灵脉系谱</x:v>
      </x:c>
      <x:c r="C9" s="58"/>
      <x:c r="D9" s="58"/>
      <x:c r="E9" s="247"/>
      <x:c r="F9" s="26" t="str">
        <x:v>灵巧</x:v>
      </x:c>
      <x:c r="G9" s="26" t="str">
        <x:f>'魔术师构筑'!$G$7</x:f>
        <x:v>D</x:v>
      </x:c>
      <x:c r="H9" s="26" t="str">
        <x:v>意志</x:v>
      </x:c>
      <x:c r="I9" s="26" t="str">
        <x:f>'魔术师构筑'!$G$10</x:f>
        <x:v>C</x:v>
      </x:c>
      <x:c r="J9" s="26"/>
      <x:c r="K9" s="26"/>
    </x:row>
    <x:row r="10">
      <x:c r="A10" s="58" t="str">
        <x:v>限制</x:v>
      </x:c>
      <x:c r="B10" s="58" t="str">
        <x:f>'魔术师构筑'!$B$9</x:f>
        <x:v>必须先布置可见锚点</x:v>
      </x:c>
      <x:c r="C10" s="58"/>
      <x:c r="D10" s="58"/>
      <x:c r="E10" s="247"/>
      <x:c r="F10" s="247"/>
      <x:c r="G10" s="247"/>
      <x:c r="H10" s="247"/>
      <x:c r="I10" s="247"/>
      <x:c r="J10" s="247"/>
      <x:c r="K10" s="247"/>
    </x:row>
    <x:row r="11" ht="24" customHeight="1">
      <x:c r="A11" s="58" t="str">
        <x:v>生命</x:v>
      </x:c>
      <x:c r="B11" s="58" t="n">
        <x:f>'魔术师构筑'!$L8</x:f>
        <x:v>10</x:v>
      </x:c>
      <x:c r="C11" s="58" t="str">
        <x:v>MP</x:v>
      </x:c>
      <x:c r="D11" s="58" t="n">
        <x:f>'魔术师构筑'!$L$9</x:f>
        <x:v>6</x:v>
      </x:c>
      <x:c r="E11" s="247"/>
      <x:c r="F11" s="193" t="str">
        <x:v>四项术式</x:v>
      </x:c>
      <x:c r="G11" s="194"/>
      <x:c r="H11" s="194"/>
      <x:c r="I11" s="194"/>
      <x:c r="J11" s="194"/>
      <x:c r="K11" s="195"/>
    </x:row>
    <x:row r="12">
      <x:c r="A12" s="58" t="str">
        <x:v>回避</x:v>
      </x:c>
      <x:c r="B12" s="58" t="n">
        <x:f>'魔术师构筑'!$L10</x:f>
        <x:v>11</x:v>
      </x:c>
      <x:c r="C12" s="58" t="str">
        <x:v>坚韧</x:v>
      </x:c>
      <x:c r="D12" s="58" t="n">
        <x:f>'魔术师构筑'!$L$11</x:f>
        <x:v>11</x:v>
      </x:c>
      <x:c r="E12" s="247"/>
      <x:c r="F12" s="131" t="str">
        <x:v>术式</x:v>
      </x:c>
      <x:c r="G12" s="131"/>
      <x:c r="H12" s="131" t="str">
        <x:v>阶位／系谱</x:v>
      </x:c>
      <x:c r="I12" s="131"/>
      <x:c r="J12" s="131" t="str">
        <x:v>动作／MP</x:v>
      </x:c>
      <x:c r="K12" s="131"/>
    </x:row>
    <x:row r="13">
      <x:c r="A13" s="58" t="str">
        <x:v>精神</x:v>
      </x:c>
      <x:c r="B13" s="58" t="n">
        <x:f>'魔术师构筑'!$L12</x:f>
        <x:v>12</x:v>
      </x:c>
      <x:c r="C13" s="58" t="str">
        <x:v>察觉</x:v>
      </x:c>
      <x:c r="D13" s="58" t="n">
        <x:f>'魔术师构筑'!$L$12</x:f>
        <x:v>12</x:v>
      </x:c>
      <x:c r="E13" s="247"/>
      <x:c r="F13" s="139" t="str">
        <x:f>'魔术师构筑'!$B$33</x:f>
        <x:v>魔力警戒</x:v>
      </x:c>
      <x:c r="G13" s="139"/>
      <x:c r="H13" s="139" t="str">
        <x:f>'魔术师构筑'!$F$33&amp;"｜"&amp;'魔术师构筑'!$E$33</x:f>
        <x:v>零阶｜结界系谱</x:v>
      </x:c>
      <x:c r="I13" s="139"/>
      <x:c r="J13" s="139" t="str">
        <x:f>'魔术师构筑'!$H$33&amp;"｜"&amp;'魔术师构筑'!$J$33</x:f>
        <x:v>仪式 1 分钟｜0 MP</x:v>
      </x:c>
      <x:c r="K13" s="139"/>
    </x:row>
    <x:row r="14">
      <x:c r="A14" s="58" t="str">
        <x:v>礼装</x:v>
      </x:c>
      <x:c r="B14" s="58" t="str">
        <x:f>'魔术师构筑'!$B$56</x:f>
        <x:v>折叠式阵盘</x:v>
      </x:c>
      <x:c r="C14" s="58"/>
      <x:c r="D14" s="58"/>
      <x:c r="E14" s="247"/>
      <x:c r="F14" s="139" t="str">
        <x:f>'魔术师构筑'!$B$37</x:f>
        <x:v>偏转盾</x:v>
      </x:c>
      <x:c r="G14" s="139"/>
      <x:c r="H14" s="139" t="str">
        <x:f>'魔术师构筑'!$F$37&amp;"｜"&amp;'魔术师构筑'!$E$37</x:f>
        <x:v>一阶｜结界系谱</x:v>
      </x:c>
      <x:c r="I14" s="139"/>
      <x:c r="J14" s="139" t="str">
        <x:f>'魔术师构筑'!$H$37&amp;"｜"&amp;'魔术师构筑'!$J$37</x:f>
        <x:v>反应｜1 MP</x:v>
      </x:c>
      <x:c r="K14" s="139"/>
    </x:row>
    <x:row r="15">
      <x:c r="A15" s="247"/>
      <x:c r="B15" s="247"/>
      <x:c r="C15" s="247"/>
      <x:c r="D15" s="247"/>
      <x:c r="E15" s="247"/>
      <x:c r="F15" s="139" t="str">
        <x:f>'魔术师构筑'!$B$41</x:f>
        <x:v>短距跃迁</x:v>
      </x:c>
      <x:c r="G15" s="139"/>
      <x:c r="H15" s="139" t="str">
        <x:f>'魔术师构筑'!$F$41&amp;"｜"&amp;'魔术师构筑'!$E$41</x:f>
        <x:v>二阶｜灵脉系谱</x:v>
      </x:c>
      <x:c r="I15" s="139"/>
      <x:c r="J15" s="139" t="str">
        <x:f>'魔术师构筑'!$H$41&amp;"｜"&amp;'魔术师构筑'!$J$41</x:f>
        <x:v>次要｜2 MP</x:v>
      </x:c>
      <x:c r="K15" s="139"/>
    </x:row>
    <x:row r="16">
      <x:c r="A16" s="247"/>
      <x:c r="B16" s="247"/>
      <x:c r="C16" s="247"/>
      <x:c r="D16" s="247"/>
      <x:c r="E16" s="247"/>
      <x:c r="F16" s="139" t="str">
        <x:f>'魔术师构筑'!$B$45</x:f>
        <x:v>封锁通路</x:v>
      </x:c>
      <x:c r="G16" s="139"/>
      <x:c r="H16" s="139" t="str">
        <x:f>'魔术师构筑'!$F$45&amp;"｜"&amp;'魔术师构筑'!$E$45</x:f>
        <x:v>四阶｜灵脉系谱</x:v>
      </x:c>
      <x:c r="I16" s="139"/>
      <x:c r="J16" s="139" t="str">
        <x:f>'魔术师构筑'!$H$45&amp;"｜"&amp;'魔术师构筑'!$J$45</x:f>
        <x:v>仪式｜6+ MP</x:v>
      </x:c>
      <x:c r="K16" s="139"/>
    </x:row>
    <x:row r="17" ht="24" customHeight="1">
      <x:c r="A17" s="50" t="str">
        <x:v>礼装预览</x:v>
      </x:c>
      <x:c r="B17" s="51"/>
      <x:c r="C17" s="51"/>
      <x:c r="D17" s="51"/>
      <x:c r="E17" s="51"/>
      <x:c r="F17" s="51"/>
      <x:c r="G17" s="51"/>
      <x:c r="H17" s="51"/>
      <x:c r="I17" s="51"/>
      <x:c r="J17" s="51"/>
      <x:c r="K17" s="52"/>
    </x:row>
    <x:row r="18">
      <x:c r="A18" s="56" t="str">
        <x:v>名称</x:v>
      </x:c>
      <x:c r="B18" s="56"/>
      <x:c r="C18" s="139" t="str">
        <x:f>'魔术师构筑'!$B$56</x:f>
        <x:v>折叠式阵盘</x:v>
      </x:c>
      <x:c r="D18" s="139"/>
      <x:c r="E18" s="139"/>
      <x:c r="F18" s="139"/>
      <x:c r="G18" s="139"/>
      <x:c r="H18" s="139"/>
      <x:c r="I18" s="139"/>
      <x:c r="J18" s="139"/>
      <x:c r="K18" s="139"/>
    </x:row>
    <x:row r="19">
      <x:c r="A19" s="56" t="str">
        <x:v>效果</x:v>
      </x:c>
      <x:c r="B19" s="56"/>
      <x:c r="C19" s="139" t="str">
        <x:f>'魔术师构筑'!$B$57</x:f>
        <x:v>展开 10 分钟后，四阶仪式少一种准备需求。</x:v>
      </x:c>
      <x:c r="D19" s="139"/>
      <x:c r="E19" s="139"/>
      <x:c r="F19" s="139"/>
      <x:c r="G19" s="139"/>
      <x:c r="H19" s="139"/>
      <x:c r="I19" s="139"/>
      <x:c r="J19" s="139"/>
      <x:c r="K19" s="139"/>
    </x:row>
    <x:row r="20">
      <x:c r="A20" s="56" t="str">
        <x:v>限制</x:v>
      </x:c>
      <x:c r="B20" s="56"/>
      <x:c r="C20" s="139" t="str">
        <x:f>'魔术师构筑'!$B$59</x:f>
        <x:v>展开后不能移动；破坏四角之一即可中断。</x:v>
      </x:c>
      <x:c r="D20" s="139"/>
      <x:c r="E20" s="139"/>
      <x:c r="F20" s="139"/>
      <x:c r="G20" s="139"/>
      <x:c r="H20" s="139"/>
      <x:c r="I20" s="139"/>
      <x:c r="J20" s="139"/>
      <x:c r="K20" s="139"/>
    </x:row>
  </x:sheetData>
  <x:mergeCells>
    <x:mergeCell ref="A1:K2"/>
    <x:mergeCell ref="A3:K3"/>
    <x:mergeCell ref="A5:D5"/>
    <x:mergeCell ref="B6:D6"/>
    <x:mergeCell ref="B7:D7"/>
    <x:mergeCell ref="B8:D8"/>
    <x:mergeCell ref="B9:D9"/>
    <x:mergeCell ref="B10:D10"/>
    <x:mergeCell ref="B14:D14"/>
    <x:mergeCell ref="F5:K5"/>
    <x:mergeCell ref="F11:K11"/>
    <x:mergeCell ref="F12:G12"/>
    <x:mergeCell ref="H12:I12"/>
    <x:mergeCell ref="J12:K12"/>
    <x:mergeCell ref="F13:G13"/>
    <x:mergeCell ref="H13:I13"/>
    <x:mergeCell ref="J13:K13"/>
    <x:mergeCell ref="F14:G14"/>
    <x:mergeCell ref="H14:I14"/>
    <x:mergeCell ref="J14:K14"/>
    <x:mergeCell ref="F15:G15"/>
    <x:mergeCell ref="H15:I15"/>
    <x:mergeCell ref="J15:K15"/>
    <x:mergeCell ref="F16:G16"/>
    <x:mergeCell ref="H16:I16"/>
    <x:mergeCell ref="J16:K16"/>
    <x:mergeCell ref="A17:K17"/>
    <x:mergeCell ref="A18:B18"/>
    <x:mergeCell ref="A19:B19"/>
    <x:mergeCell ref="A20:B20"/>
    <x:mergeCell ref="C18:K18"/>
    <x:mergeCell ref="C19:K19"/>
    <x:mergeCell ref="C20:K2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152" t="str">
        <x:f>'从者构筑'!$B$5&amp;"｜从者角色卡"</x:f>
        <x:v>未命名从者｜从者角色卡</x:v>
      </x:c>
      <x:c r="B1" s="152"/>
      <x:c r="C1" s="152"/>
      <x:c r="D1" s="152"/>
      <x:c r="E1" s="152"/>
      <x:c r="F1" s="152"/>
      <x:c r="G1" s="152"/>
      <x:c r="H1" s="152"/>
      <x:c r="I1" s="152"/>
      <x:c r="J1" s="152"/>
      <x:c r="K1" s="152"/>
    </x:row>
    <x:row r="2">
      <x:c r="A2" s="152"/>
      <x:c r="B2" s="152"/>
      <x:c r="C2" s="152"/>
      <x:c r="D2" s="152"/>
      <x:c r="E2" s="152"/>
      <x:c r="F2" s="152"/>
      <x:c r="G2" s="152"/>
      <x:c r="H2" s="152"/>
      <x:c r="I2" s="152"/>
      <x:c r="J2" s="152"/>
      <x:c r="K2" s="152"/>
    </x:row>
    <x:row r="3">
      <x:c r="A3" s="155" t="str">
        <x:v>打印卡仅显示构筑结果；请在对应构筑页修改淡蓝输入格。</x:v>
      </x:c>
      <x:c r="B3" s="155"/>
      <x:c r="C3" s="155"/>
      <x:c r="D3" s="155"/>
      <x:c r="E3" s="155"/>
      <x:c r="F3" s="155"/>
      <x:c r="G3" s="155"/>
      <x:c r="H3" s="155"/>
      <x:c r="I3" s="155"/>
      <x:c r="J3" s="155"/>
      <x:c r="K3" s="155"/>
    </x:row>
    <x:row r="4">
      <x:c r="A4" s="247"/>
      <x:c r="B4" s="247"/>
      <x:c r="C4" s="247"/>
      <x:c r="D4" s="247"/>
      <x:c r="E4" s="247"/>
      <x:c r="F4" s="247"/>
      <x:c r="G4" s="247"/>
      <x:c r="H4" s="247"/>
      <x:c r="I4" s="247"/>
      <x:c r="J4" s="247"/>
      <x:c r="K4" s="247"/>
    </x:row>
    <x:row r="5" ht="24" customHeight="1">
      <x:c r="A5" s="82" t="str">
        <x:v>真名、职阶与愿望</x:v>
      </x:c>
      <x:c r="B5" s="83"/>
      <x:c r="C5" s="83"/>
      <x:c r="D5" s="84"/>
      <x:c r="E5" s="247"/>
      <x:c r="F5" s="82" t="str">
        <x:v>Fate参数</x:v>
      </x:c>
      <x:c r="G5" s="83"/>
      <x:c r="H5" s="83"/>
      <x:c r="I5" s="83"/>
      <x:c r="J5" s="83"/>
      <x:c r="K5" s="84"/>
    </x:row>
    <x:row r="6">
      <x:c r="A6" s="58" t="str">
        <x:v>玩家</x:v>
      </x:c>
      <x:c r="B6" s="58" t="str">
        <x:f>'从者构筑'!$B$4</x:f>
        <x:v>玩家</x:v>
      </x:c>
      <x:c r="C6" s="58"/>
      <x:c r="D6" s="58"/>
      <x:c r="E6" s="247"/>
      <x:c r="F6" s="26" t="str">
        <x:v>筋力</x:v>
      </x:c>
      <x:c r="G6" s="26" t="str">
        <x:f>'从者构筑'!$O$5</x:f>
        <x:v>D</x:v>
      </x:c>
      <x:c r="H6" s="26" t="str">
        <x:v>耐久</x:v>
      </x:c>
      <x:c r="I6" s="26" t="str">
        <x:f>'从者构筑'!$O$6</x:f>
        <x:v>D</x:v>
      </x:c>
      <x:c r="J6" s="26" t="str">
        <x:v>敏捷</x:v>
      </x:c>
      <x:c r="K6" s="26" t="str">
        <x:f>'从者构筑'!$O$7</x:f>
        <x:v>A</x:v>
      </x:c>
    </x:row>
    <x:row r="7">
      <x:c r="A7" s="58" t="str">
        <x:v>公开称谓／真名</x:v>
      </x:c>
      <x:c r="B7" s="58" t="str">
        <x:f>'从者构筑'!$B$6</x:f>
        <x:v>影之守门人</x:v>
      </x:c>
      <x:c r="C7" s="58"/>
      <x:c r="D7" s="58"/>
      <x:c r="E7" s="247"/>
      <x:c r="F7" s="26" t="str">
        <x:v>魔力</x:v>
      </x:c>
      <x:c r="G7" s="26" t="str">
        <x:f>'从者构筑'!$O$8</x:f>
        <x:v>C</x:v>
      </x:c>
      <x:c r="H7" s="26" t="str">
        <x:v>幸运</x:v>
      </x:c>
      <x:c r="I7" s="26" t="str">
        <x:f>'从者构筑'!$O$9</x:f>
        <x:v>C</x:v>
      </x:c>
      <x:c r="J7" s="26" t="str">
        <x:v>宝具</x:v>
      </x:c>
      <x:c r="K7" s="26" t="str">
        <x:f>'从者构筑'!$O$10</x:f>
        <x:v>C</x:v>
      </x:c>
    </x:row>
    <x:row r="8">
      <x:c r="A8" s="58" t="str">
        <x:v>职阶</x:v>
      </x:c>
      <x:c r="B8" s="58" t="str">
        <x:f>'从者构筑'!$B$8</x:f>
        <x:v>Assassin</x:v>
      </x:c>
      <x:c r="C8" s="58" t="str">
        <x:v>幸运</x:v>
      </x:c>
      <x:c r="D8" s="58" t="str">
        <x:f>'从者构筑'!$B$10</x:f>
        <x:v>C</x:v>
      </x:c>
      <x:c r="E8" s="247"/>
      <x:c r="F8" s="26" t="str">
        <x:v>回避</x:v>
      </x:c>
      <x:c r="G8" s="26" t="n">
        <x:f>10+'从者构筑'!$L$7</x:f>
        <x:v>14</x:v>
      </x:c>
      <x:c r="H8" s="26" t="str">
        <x:v>坚韧</x:v>
      </x:c>
      <x:c r="I8" s="26" t="n">
        <x:f>10+'从者构筑'!$L$6</x:f>
        <x:v>11</x:v>
      </x:c>
      <x:c r="J8" s="26" t="str">
        <x:v>精神</x:v>
      </x:c>
      <x:c r="K8" s="26" t="n">
        <x:f>10+'从者构筑'!$L$10</x:f>
        <x:v>12</x:v>
      </x:c>
    </x:row>
    <x:row r="9">
      <x:c r="A9" s="58" t="str">
        <x:v>传说核心</x:v>
      </x:c>
      <x:c r="B9" s="58" t="str">
        <x:f>'从者构筑'!$B$9</x:f>
        <x:v>以誓约守护禁区的无名刺客</x:v>
      </x:c>
      <x:c r="C9" s="58"/>
      <x:c r="D9" s="58"/>
      <x:c r="E9" s="247"/>
      <x:c r="F9" s="26" t="str">
        <x:v>察觉</x:v>
      </x:c>
      <x:c r="G9" s="26" t="n">
        <x:f>10+'从者构筑'!$L$8</x:f>
        <x:v>13</x:v>
      </x:c>
      <x:c r="H9" s="26" t="str">
        <x:v>决意</x:v>
      </x:c>
      <x:c r="I9" s="26" t="n">
        <x:v>3</x:v>
      </x:c>
      <x:c r="J9" s="26" t="str">
        <x:v>护甲</x:v>
      </x:c>
      <x:c r="K9" s="26" t="n">
        <x:v>0</x:v>
      </x:c>
    </x:row>
    <x:row r="10">
      <x:c r="A10" s="58" t="str">
        <x:v>愿望</x:v>
      </x:c>
      <x:c r="B10" s="58" t="str">
        <x:f>'从者构筑'!$B$7</x:f>
        <x:v>守住不应被开启的门</x:v>
      </x:c>
      <x:c r="C10" s="58"/>
      <x:c r="D10" s="58"/>
      <x:c r="E10" s="247"/>
      <x:c r="F10" s="244" t="str">
        <x:v>六参数映射：筋力=体魄、耐久=耐久、敏捷=灵巧、魔力=魔力；幸运与宝具为独立阶位。</x:v>
      </x:c>
      <x:c r="G10" s="245"/>
      <x:c r="H10" s="245"/>
      <x:c r="I10" s="245"/>
      <x:c r="J10" s="245"/>
      <x:c r="K10" s="246"/>
    </x:row>
    <x:row r="11">
      <x:c r="A11" s="58" t="str">
        <x:v>生命</x:v>
      </x:c>
      <x:c r="B11" s="58" t="n">
        <x:f>18+'从者构筑'!$L$6*3</x:f>
        <x:v>21</x:v>
      </x:c>
      <x:c r="C11" s="58" t="str">
        <x:v>MP</x:v>
      </x:c>
      <x:c r="D11" s="58" t="n">
        <x:f>6+'从者构筑'!$L$11*2+'御主契约'!$G$5</x:f>
        <x:v>10</x:v>
      </x:c>
      <x:c r="E11" s="247"/>
      <x:c r="F11" s="247"/>
      <x:c r="G11" s="247"/>
      <x:c r="H11" s="247"/>
      <x:c r="I11" s="247"/>
      <x:c r="J11" s="247"/>
      <x:c r="K11" s="247"/>
    </x:row>
    <x:row r="12">
      <x:c r="A12" s="58" t="str">
        <x:v>相性加值</x:v>
      </x:c>
      <x:c r="B12" s="58" t="n">
        <x:f>'从者构筑'!$O$11</x:f>
        <x:v>0</x:v>
      </x:c>
      <x:c r="C12" s="58" t="str">
        <x:v>供魔</x:v>
      </x:c>
      <x:c r="D12" s="58" t="str">
        <x:f>'御主契约'!$B$6</x:f>
        <x:v>稳定</x:v>
      </x:c>
      <x:c r="E12" s="247"/>
      <x:c r="F12" s="247"/>
      <x:c r="G12" s="247"/>
      <x:c r="H12" s="247"/>
      <x:c r="I12" s="247"/>
      <x:c r="J12" s="247"/>
      <x:c r="K12" s="247"/>
    </x:row>
    <x:row r="13">
      <x:c r="A13" s="58" t="str">
        <x:v>概念克制</x:v>
      </x:c>
      <x:c r="B13" s="58" t="str">
        <x:f>'从者构筑'!$B$17</x:f>
        <x:v>否</x:v>
      </x:c>
      <x:c r="C13" s="58"/>
      <x:c r="D13" s="58"/>
      <x:c r="E13" s="247"/>
      <x:c r="F13" s="247"/>
      <x:c r="G13" s="247"/>
      <x:c r="H13" s="247"/>
      <x:c r="I13" s="247"/>
      <x:c r="J13" s="247"/>
      <x:c r="K13" s="247"/>
    </x:row>
    <x:row r="14">
      <x:c r="A14" s="247"/>
      <x:c r="B14" s="247"/>
      <x:c r="C14" s="247"/>
      <x:c r="D14" s="247"/>
      <x:c r="E14" s="247"/>
      <x:c r="F14" s="247"/>
      <x:c r="G14" s="247"/>
      <x:c r="H14" s="247"/>
      <x:c r="I14" s="247"/>
      <x:c r="J14" s="247"/>
      <x:c r="K14" s="247"/>
    </x:row>
    <x:row r="15" ht="24" customHeight="1">
      <x:c r="A15" s="82" t="str">
        <x:v>职阶特性</x:v>
      </x:c>
      <x:c r="B15" s="83"/>
      <x:c r="C15" s="83"/>
      <x:c r="D15" s="83"/>
      <x:c r="E15" s="83"/>
      <x:c r="F15" s="83"/>
      <x:c r="G15" s="83"/>
      <x:c r="H15" s="83"/>
      <x:c r="I15" s="83"/>
      <x:c r="J15" s="83"/>
      <x:c r="K15" s="84"/>
    </x:row>
    <x:row r="16">
      <x:c r="A16" s="139" t="str">
        <x:f>'从者构筑'!$O$14</x:f>
        <x:v>气息遮断：场景开始可处于隐匿；第一次暴露前潜行检定优势。</x:v>
      </x:c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</x:row>
    <x:row r="19">
      <x:c r="A19" s="247"/>
      <x:c r="B19" s="247"/>
      <x:c r="C19" s="247"/>
      <x:c r="D19" s="247"/>
      <x:c r="E19" s="247"/>
      <x:c r="F19" s="247"/>
      <x:c r="G19" s="247"/>
      <x:c r="H19" s="247"/>
      <x:c r="I19" s="247"/>
      <x:c r="J19" s="247"/>
      <x:c r="K19" s="247"/>
    </x:row>
    <x:row r="20" ht="24" customHeight="1">
      <x:c r="A20" s="82" t="str">
        <x:v>三项保有技能</x:v>
      </x:c>
      <x:c r="B20" s="83"/>
      <x:c r="C20" s="83"/>
      <x:c r="D20" s="83"/>
      <x:c r="E20" s="83"/>
      <x:c r="F20" s="83"/>
      <x:c r="G20" s="83"/>
      <x:c r="H20" s="83"/>
      <x:c r="I20" s="83"/>
      <x:c r="J20" s="83"/>
      <x:c r="K20" s="84"/>
    </x:row>
    <x:row r="21">
      <x:c r="A21" s="88" t="str">
        <x:v>名称</x:v>
      </x:c>
      <x:c r="B21" s="88" t="str">
        <x:v>阶位</x:v>
      </x:c>
      <x:c r="C21" s="88" t="str">
        <x:v>动作／触发</x:v>
      </x:c>
      <x:c r="D21" s="88"/>
      <x:c r="E21" s="88" t="str">
        <x:v>效果</x:v>
      </x:c>
      <x:c r="F21" s="88"/>
      <x:c r="G21" s="88"/>
      <x:c r="H21" s="88" t="str">
        <x:v>反制／冷却</x:v>
      </x:c>
      <x:c r="I21" s="88"/>
      <x:c r="J21" s="88"/>
      <x:c r="K21" s="88"/>
    </x:row>
    <x:row r="22">
      <x:c r="A22" s="58" t="str">
        <x:f>'从者构筑'!$B$39</x:f>
        <x:v>战斗续行</x:v>
      </x:c>
      <x:c r="B22" s="58" t="str">
        <x:f>'从者构筑'!$E$39</x:f>
        <x:v>B</x:v>
      </x:c>
      <x:c r="C22" s="58" t="str">
        <x:f>'从者构筑'!$G$39</x:f>
        <x:v>反应／每场一次</x:v>
      </x:c>
      <x:c r="D22" s="58"/>
      <x:c r="E22" s="58" t="str">
        <x:f>'从者构筑'!$J$39</x:f>
        <x:v>生命将降至0时改为保留1生命；直到下回合结束不能解放宝具。</x:v>
      </x:c>
      <x:c r="F22" s="58"/>
      <x:c r="G22" s="58"/>
      <x:c r="H22" s="58" t="str">
        <x:f>'从者构筑'!$M$39</x:f>
        <x:v>治疗、封印或概念即死可反制。</x:v>
      </x:c>
      <x:c r="I22" s="58"/>
      <x:c r="J22" s="58"/>
      <x:c r="K22" s="58"/>
    </x:row>
    <x:row r="23">
      <x:c r="A23" s="58" t="str">
        <x:f>'从者构筑'!$B$40</x:f>
        <x:v>直感</x:v>
      </x:c>
      <x:c r="B23" s="58" t="str">
        <x:f>'从者构筑'!$E$40</x:f>
        <x:v>C</x:v>
      </x:c>
      <x:c r="C23" s="58" t="str">
        <x:f>'从者构筑'!$G$40</x:f>
        <x:v>次要动作／1MP／冷却2轮</x:v>
      </x:c>
      <x:c r="D23" s="58"/>
      <x:c r="E23" s="58" t="str">
        <x:f>'从者构筑'!$J$40</x:f>
        <x:v>识别最危险的立即行动；大成功本轮回避+2。</x:v>
      </x:c>
      <x:c r="F23" s="58"/>
      <x:c r="G23" s="58"/>
      <x:c r="H23" s="58" t="str">
        <x:f>'从者构筑'!$M$40</x:f>
        <x:v>遮蔽、误导与情报代价。</x:v>
      </x:c>
      <x:c r="I23" s="58"/>
      <x:c r="J23" s="58"/>
      <x:c r="K23" s="58"/>
    </x:row>
    <x:row r="24">
      <x:c r="A24" s="58" t="str">
        <x:f>'从者构筑'!$B$41</x:f>
        <x:v>守门誓约</x:v>
      </x:c>
      <x:c r="B24" s="58" t="str">
        <x:f>'从者构筑'!$E$41</x:f>
        <x:v>C</x:v>
      </x:c>
      <x:c r="C24" s="58" t="str">
        <x:f>'从者构筑'!$G$41</x:f>
        <x:v>反应／2MP</x:v>
      </x:c>
      <x:c r="D24" s="58"/>
      <x:c r="E24" s="58" t="str">
        <x:f>'从者构筑'!$J$41</x:f>
        <x:v>保护同区域目标并减伤3。</x:v>
      </x:c>
      <x:c r="F24" s="58"/>
      <x:c r="G24" s="58"/>
      <x:c r="H24" s="58" t="str">
        <x:f>'从者构筑'!$M$41</x:f>
        <x:v>离开守卫线或违背誓约时失效。</x:v>
      </x:c>
      <x:c r="I24" s="58"/>
      <x:c r="J24" s="58"/>
      <x:c r="K24" s="58"/>
    </x:row>
    <x:row r="25">
      <x:c r="A25" s="247"/>
      <x:c r="B25" s="247"/>
      <x:c r="C25" s="247"/>
      <x:c r="D25" s="247"/>
      <x:c r="E25" s="247"/>
      <x:c r="F25" s="247"/>
      <x:c r="G25" s="247"/>
      <x:c r="H25" s="247"/>
      <x:c r="I25" s="247"/>
      <x:c r="J25" s="247"/>
      <x:c r="K25" s="247"/>
    </x:row>
    <x:row r="26" ht="24" customHeight="1">
      <x:c r="A26" s="50" t="str">
        <x:v>宝具</x:v>
      </x:c>
      <x:c r="B26" s="51"/>
      <x:c r="C26" s="51"/>
      <x:c r="D26" s="51"/>
      <x:c r="E26" s="51"/>
      <x:c r="F26" s="51"/>
      <x:c r="G26" s="51"/>
      <x:c r="H26" s="51"/>
      <x:c r="I26" s="51"/>
      <x:c r="J26" s="51"/>
      <x:c r="K26" s="52"/>
    </x:row>
    <x:row r="27">
      <x:c r="A27" s="56" t="str">
        <x:v>真名</x:v>
      </x:c>
      <x:c r="B27" s="56"/>
      <x:c r="C27" s="139" t="str">
        <x:f>'从者构筑'!$B$47</x:f>
        <x:v>破晓横断之枪</x:v>
      </x:c>
      <x:c r="D27" s="139"/>
      <x:c r="E27" s="139"/>
      <x:c r="F27" s="139"/>
      <x:c r="G27" s="139"/>
      <x:c r="H27" s="139"/>
      <x:c r="I27" s="139"/>
      <x:c r="J27" s="139"/>
      <x:c r="K27" s="139"/>
    </x:row>
    <x:row r="28">
      <x:c r="A28" s="56" t="str">
        <x:v>阶位／类型</x:v>
      </x:c>
      <x:c r="B28" s="56"/>
      <x:c r="C28" s="139" t="str">
        <x:f>'从者构筑'!$B$45&amp;"｜"&amp;'从者构筑'!$B$46</x:f>
        <x:v>C｜对人</x:v>
      </x:c>
      <x:c r="D28" s="139"/>
      <x:c r="E28" s="139"/>
      <x:c r="F28" s="139"/>
      <x:c r="G28" s="139"/>
      <x:c r="H28" s="139"/>
      <x:c r="I28" s="139"/>
      <x:c r="J28" s="139"/>
      <x:c r="K28" s="139"/>
    </x:row>
    <x:row r="29">
      <x:c r="A29" s="56" t="str">
        <x:v>MP／基准</x:v>
      </x:c>
      <x:c r="B29" s="56"/>
      <x:c r="C29" s="139" t="str">
        <x:f>'从者构筑'!$G$46&amp;" MP｜"&amp;'从者构筑'!$G$47</x:f>
        <x:v>5 MP｜8</x:v>
      </x:c>
      <x:c r="D29" s="139"/>
      <x:c r="E29" s="139"/>
      <x:c r="F29" s="139"/>
      <x:c r="G29" s="139"/>
      <x:c r="H29" s="139"/>
      <x:c r="I29" s="139"/>
      <x:c r="J29" s="139"/>
      <x:c r="K29" s="139"/>
    </x:row>
    <x:row r="30">
      <x:c r="A30" s="56" t="str">
        <x:v>触发／代价</x:v>
      </x:c>
      <x:c r="B30" s="56"/>
      <x:c r="C30" s="139" t="str">
        <x:f>'从者构筑'!$B$48&amp;"｜"&amp;'从者构筑'!$B$49</x:f>
        <x:v>主要动作｜真名解放｜直线瞄准标记；A阶必须额外填写</x:v>
      </x:c>
      <x:c r="D30" s="139"/>
      <x:c r="E30" s="139"/>
      <x:c r="F30" s="139"/>
      <x:c r="G30" s="139"/>
      <x:c r="H30" s="139"/>
      <x:c r="I30" s="139"/>
      <x:c r="J30" s="139"/>
      <x:c r="K30" s="139"/>
    </x:row>
    <x:row r="31">
      <x:c r="A31" s="56" t="str">
        <x:v>效果／反制</x:v>
      </x:c>
      <x:c r="B31" s="56"/>
      <x:c r="C31" s="139" t="str">
        <x:f>'从者构筑'!$B$50</x:f>
        <x:v>远距区域攻击；离开直线、破坏标记或同级防御可反制</x:v>
      </x:c>
      <x:c r="D31" s="139"/>
      <x:c r="E31" s="139"/>
      <x:c r="F31" s="139"/>
      <x:c r="G31" s="139"/>
      <x:c r="H31" s="139"/>
      <x:c r="I31" s="139"/>
      <x:c r="J31" s="139"/>
      <x:c r="K31" s="139"/>
    </x:row>
    <x:row r="32">
      <x:c r="A32" s="247"/>
      <x:c r="B32" s="247"/>
      <x:c r="C32" s="247"/>
      <x:c r="D32" s="247"/>
      <x:c r="E32" s="247"/>
      <x:c r="F32" s="247"/>
      <x:c r="G32" s="247"/>
      <x:c r="H32" s="247"/>
      <x:c r="I32" s="247"/>
      <x:c r="J32" s="247"/>
      <x:c r="K32" s="247"/>
    </x:row>
    <x:row r="33" ht="24" customHeight="1">
      <x:c r="A33" s="82" t="str">
        <x:v>概念弱点</x:v>
      </x:c>
      <x:c r="B33" s="83"/>
      <x:c r="C33" s="83"/>
      <x:c r="D33" s="83"/>
      <x:c r="E33" s="83"/>
      <x:c r="F33" s="83"/>
      <x:c r="G33" s="83"/>
      <x:c r="H33" s="83"/>
      <x:c r="I33" s="83"/>
      <x:c r="J33" s="83"/>
      <x:c r="K33" s="84"/>
    </x:row>
    <x:row r="34">
      <x:c r="A34" s="229" t="str">
        <x:v>弱点1</x:v>
      </x:c>
      <x:c r="B34" s="229" t="str">
        <x:f>'从者构筑'!$B$53</x:f>
        <x:v>违背守门誓约时失去防护</x:v>
      </x:c>
      <x:c r="C34" s="229"/>
      <x:c r="D34" s="229"/>
      <x:c r="E34" s="229"/>
      <x:c r="F34" s="229"/>
      <x:c r="G34" s="229"/>
      <x:c r="H34" s="229"/>
      <x:c r="I34" s="229"/>
      <x:c r="J34" s="229"/>
      <x:c r="K34" s="229"/>
    </x:row>
    <x:row r="35">
      <x:c r="A35" s="229" t="str">
        <x:v>弱点2</x:v>
      </x:c>
      <x:c r="B35" s="229" t="str">
        <x:f>'从者构筑'!$B$54</x:f>
        <x:v>被允许通过者不能在同场景再次阻挡</x:v>
      </x:c>
      <x:c r="C35" s="229"/>
      <x:c r="D35" s="229"/>
      <x:c r="E35" s="229"/>
      <x:c r="F35" s="229"/>
      <x:c r="G35" s="229"/>
      <x:c r="H35" s="229"/>
      <x:c r="I35" s="229"/>
      <x:c r="J35" s="229"/>
      <x:c r="K35" s="229"/>
    </x:row>
    <x:row r="36">
      <x:c r="A36" s="229" t="str">
        <x:v>弱点3</x:v>
      </x:c>
      <x:c r="B36" s="229" t="str">
        <x:f>'从者构筑'!$B$55</x:f>
        <x:v>幸运A时必须额外填写</x:v>
      </x:c>
      <x:c r="C36" s="229"/>
      <x:c r="D36" s="229"/>
      <x:c r="E36" s="229"/>
      <x:c r="F36" s="229"/>
      <x:c r="G36" s="229"/>
      <x:c r="H36" s="229"/>
      <x:c r="I36" s="229"/>
      <x:c r="J36" s="229"/>
      <x:c r="K36" s="229"/>
    </x:row>
  </x:sheetData>
  <x:mergeCells>
    <x:mergeCell ref="A1:K2"/>
    <x:mergeCell ref="A3:K3"/>
    <x:mergeCell ref="A5:D5"/>
    <x:mergeCell ref="B6:D6"/>
    <x:mergeCell ref="B7:D7"/>
    <x:mergeCell ref="B9:D9"/>
    <x:mergeCell ref="B10:D10"/>
    <x:mergeCell ref="B13:D13"/>
    <x:mergeCell ref="F5:K5"/>
    <x:mergeCell ref="F10:K10"/>
    <x:mergeCell ref="A15:K15"/>
    <x:mergeCell ref="A16:K18"/>
    <x:mergeCell ref="A20:K20"/>
    <x:mergeCell ref="C21:D21"/>
    <x:mergeCell ref="E21:G21"/>
    <x:mergeCell ref="H21:K21"/>
    <x:mergeCell ref="C22:D22"/>
    <x:mergeCell ref="E22:G22"/>
    <x:mergeCell ref="H22:K22"/>
    <x:mergeCell ref="C23:D23"/>
    <x:mergeCell ref="E23:G23"/>
    <x:mergeCell ref="H23:K23"/>
    <x:mergeCell ref="C24:D24"/>
    <x:mergeCell ref="E24:G24"/>
    <x:mergeCell ref="H24:K24"/>
    <x:mergeCell ref="A26:K26"/>
    <x:mergeCell ref="A27:B27"/>
    <x:mergeCell ref="A28:B28"/>
    <x:mergeCell ref="A29:B29"/>
    <x:mergeCell ref="A30:B30"/>
    <x:mergeCell ref="A31:B31"/>
    <x:mergeCell ref="C27:K27"/>
    <x:mergeCell ref="C28:K28"/>
    <x:mergeCell ref="C29:K29"/>
    <x:mergeCell ref="C30:K30"/>
    <x:mergeCell ref="C31:K31"/>
    <x:mergeCell ref="A33:K33"/>
    <x:mergeCell ref="B34:K34"/>
    <x:mergeCell ref="B35:K35"/>
    <x:mergeCell ref="B36:K3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9" hidden="0" customWidth="1"/>
    <x:col min="4" max="4" width="8" hidden="0" customWidth="1"/>
    <x:col min="5" max="5" width="16" hidden="0" customWidth="1"/>
    <x:col min="6" max="6" width="10" hidden="0" customWidth="1"/>
    <x:col min="7" max="7" width="9" hidden="0" customWidth="1"/>
    <x:col min="8" max="8" width="17" hidden="0" customWidth="1"/>
    <x:col min="9" max="9" width="10" hidden="0" customWidth="1"/>
    <x:col min="10" max="10" width="12" hidden="0" customWidth="1"/>
    <x:col min="11" max="11" width="60" hidden="0" customWidth="1"/>
  </x:cols>
  <x:sheetData>
    <x:row r="1" ht="34" customHeight="1">
      <x:c r="A1" s="118" t="str">
        <x:v>标准术式书｜54项</x:v>
      </x:c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</x:row>
    <x:row r="2" ht="22" customHeight="1">
      <x:c r="A2" s="121" t="str">
        <x:v>选择上方术式即可查看完整卡面；下方按系谱、阶位和功能标记整理。</x:v>
      </x:c>
      <x:c r="B2" s="121"/>
      <x:c r="C2" s="121"/>
      <x:c r="D2" s="121"/>
      <x:c r="E2" s="121"/>
      <x:c r="F2" s="121"/>
      <x:c r="G2" s="121"/>
      <x:c r="H2" s="121"/>
      <x:c r="I2" s="121"/>
      <x:c r="J2" s="121"/>
      <x:c r="K2" s="121"/>
    </x:row>
    <x:row r="3">
      <x:c r="A3" s="99" t="str">
        <x:v>预览选择</x:v>
      </x:c>
      <x:c r="B3" s="127" t="str">
        <x:v>魔力警戒</x:v>
      </x:c>
      <x:c r="C3" s="127"/>
      <x:c r="D3" s="127"/>
      <x:c r="E3" s="131" t="str">
        <x:v>系谱</x:v>
      </x:c>
      <x:c r="F3" s="137" t="str">
        <x:f>IFERROR(VLOOKUP($B$3,$A$8:$K$61,2,FALSE),"")</x:f>
        <x:v>结界系谱</x:v>
      </x:c>
      <x:c r="G3" s="131" t="str">
        <x:v>阶位</x:v>
      </x:c>
      <x:c r="H3" s="137" t="str">
        <x:f>IFERROR(VLOOKUP($B$3,$A$8:$K$61,3,FALSE),"")</x:f>
        <x:v>零阶</x:v>
      </x:c>
      <x:c r="I3" s="131" t="str">
        <x:v>功能</x:v>
      </x:c>
      <x:c r="J3" s="139" t="str">
        <x:f>IFERROR(VLOOKUP($B$3,$A$8:$K$61,8,FALSE),"")</x:f>
        <x:v>调查／支援</x:v>
      </x:c>
      <x:c r="K3" s="139"/>
    </x:row>
    <x:row r="4" ht="36" customHeight="1">
      <x:c r="A4" s="131" t="str">
        <x:v>动作／成本</x:v>
      </x:c>
      <x:c r="B4" s="139" t="str">
        <x:f>IFERROR(VLOOKUP($B$3,$A$8:$K$61,5,FALSE)&amp;"｜"&amp;VLOOKUP($B$3,$A$8:$K$61,6,FALSE),"")</x:f>
        <x:v>仪式 1 分钟｜0 MP</x:v>
      </x:c>
      <x:c r="C4" s="139"/>
      <x:c r="D4" s="139"/>
      <x:c r="E4" s="139"/>
      <x:c r="F4" s="131" t="str">
        <x:v>最低DC</x:v>
      </x:c>
      <x:c r="G4" s="137" t="n">
        <x:f>IFERROR(VLOOKUP($B$3,$A$8:$K$61,7,FALSE),"")</x:f>
        <x:v>0</x:v>
      </x:c>
      <x:c r="H4" s="131" t="str">
        <x:v>完整效果</x:v>
      </x:c>
      <x:c r="I4" s="139" t="str">
        <x:f>IFERROR(VLOOKUP($B$3,$A$8:$K$61,11,FALSE),"")</x:f>
        <x:v>一个房间或近距区域；不掷骰。放置一枚警戒印，神秘进入时向施术者示警。印记可被侦查发现并物理破坏。</x:v>
      </x:c>
      <x:c r="J4" s="139"/>
      <x:c r="K4" s="139"/>
    </x:row>
    <x:row r="5" ht="36" customHeight="1">
      <x:c r="A5" s="247"/>
      <x:c r="B5" s="247"/>
      <x:c r="C5" s="247"/>
      <x:c r="D5" s="247"/>
      <x:c r="E5" s="247"/>
      <x:c r="F5" s="247"/>
      <x:c r="G5" s="247"/>
      <x:c r="H5" s="247"/>
      <x:c r="I5" s="139"/>
      <x:c r="J5" s="139"/>
      <x:c r="K5" s="139"/>
    </x:row>
    <x:row r="6">
      <x:c r="A6" s="247"/>
      <x:c r="B6" s="247"/>
      <x:c r="C6" s="247"/>
      <x:c r="D6" s="247"/>
      <x:c r="E6" s="247"/>
      <x:c r="F6" s="247"/>
      <x:c r="G6" s="247"/>
      <x:c r="H6" s="247"/>
      <x:c r="I6" s="247"/>
      <x:c r="J6" s="247"/>
      <x:c r="K6" s="247"/>
    </x:row>
    <x:row r="7">
      <x:c r="A7" s="131" t="str">
        <x:v>名称</x:v>
      </x:c>
      <x:c r="B7" s="131" t="str">
        <x:v>系谱</x:v>
      </x:c>
      <x:c r="C7" s="131" t="str">
        <x:v>阶位</x:v>
      </x:c>
      <x:c r="D7" s="131" t="str">
        <x:v>阶位值</x:v>
      </x:c>
      <x:c r="E7" s="131" t="str">
        <x:v>动作／时间</x:v>
      </x:c>
      <x:c r="F7" s="131" t="str">
        <x:v>MP</x:v>
      </x:c>
      <x:c r="G7" s="131" t="str">
        <x:v>最低DC</x:v>
      </x:c>
      <x:c r="H7" s="131" t="str">
        <x:v>功能标签</x:v>
      </x:c>
      <x:c r="I7" s="131" t="str">
        <x:v>非战斗</x:v>
      </x:c>
      <x:c r="J7" s="131" t="str">
        <x:v>防御／撤退</x:v>
      </x:c>
      <x:c r="K7" s="131" t="str">
        <x:v>效果与反制</x:v>
      </x:c>
    </x:row>
    <x:row r="8" ht="42" customHeight="1">
      <x:c r="A8" s="58" t="str">
        <x:v>魔力警戒</x:v>
      </x:c>
      <x:c r="B8" s="58" t="str">
        <x:v>结界系谱</x:v>
      </x:c>
      <x:c r="C8" s="58" t="str">
        <x:v>零阶</x:v>
      </x:c>
      <x:c r="D8" s="26" t="n">
        <x:v>0</x:v>
      </x:c>
      <x:c r="E8" s="26" t="str">
        <x:v>仪式 1 分钟</x:v>
      </x:c>
      <x:c r="F8" s="26" t="str">
        <x:v>0 MP</x:v>
      </x:c>
      <x:c r="G8" s="26" t="n">
        <x:v>0</x:v>
      </x:c>
      <x:c r="H8" s="26" t="str">
        <x:v>调查／支援</x:v>
      </x:c>
      <x:c r="I8" s="26" t="n">
        <x:v>1</x:v>
      </x:c>
      <x:c r="J8" s="26" t="n">
        <x:v>0</x:v>
      </x:c>
      <x:c r="K8" s="58" t="str">
        <x:v>一个房间或近距区域；不掷骰。放置一枚警戒印，神秘进入时向施术者示警。印记可被侦查发现并物理破坏。</x:v>
      </x:c>
    </x:row>
    <x:row r="9" ht="42" customHeight="1">
      <x:c r="A9" s="58" t="str">
        <x:v>偏转盾</x:v>
      </x:c>
      <x:c r="B9" s="58" t="str">
        <x:v>结界系谱</x:v>
      </x:c>
      <x:c r="C9" s="58" t="str">
        <x:v>一阶</x:v>
      </x:c>
      <x:c r="D9" s="26" t="n">
        <x:v>1</x:v>
      </x:c>
      <x:c r="E9" s="26" t="str">
        <x:v>反应</x:v>
      </x:c>
      <x:c r="F9" s="26" t="str">
        <x:v>1 MP</x:v>
      </x:c>
      <x:c r="G9" s="26" t="n">
        <x:v>10</x:v>
      </x:c>
      <x:c r="H9" s="26" t="str">
        <x:v>防御／撤退</x:v>
      </x:c>
      <x:c r="I9" s="26" t="n">
        <x:v>0</x:v>
      </x:c>
      <x:c r="J9" s="26" t="n">
        <x:v>1</x:v>
      </x:c>
      <x:c r="K9" s="58" t="str">
        <x:v>自己或接触盟友被命中时使用；伤害 -2。大成功无额外收益；每轮一次，破甲效果仍会生效。</x:v>
      </x:c>
    </x:row>
    <x:row r="10" ht="42" customHeight="1">
      <x:c r="A10" s="58" t="str">
        <x:v>封锁线</x:v>
      </x:c>
      <x:c r="B10" s="58" t="str">
        <x:v>结界系谱</x:v>
      </x:c>
      <x:c r="C10" s="58" t="str">
        <x:v>二阶</x:v>
      </x:c>
      <x:c r="D10" s="26" t="n">
        <x:v>2</x:v>
      </x:c>
      <x:c r="E10" s="26" t="str">
        <x:v>主要</x:v>
      </x:c>
      <x:c r="F10" s="26" t="str">
        <x:v>2 MP</x:v>
      </x:c>
      <x:c r="G10" s="26" t="n">
        <x:v>13</x:v>
      </x:c>
      <x:c r="H10" s="26" t="str">
        <x:v>防御／撤退</x:v>
      </x:c>
      <x:c r="I10" s="26" t="n">
        <x:v>0</x:v>
      </x:c>
      <x:c r="J10" s="26" t="n">
        <x:v>1</x:v>
      </x:c>
      <x:c r="K10" s="58" t="str">
        <x:v>魔力＋魔术对坚韧；在近距画出一道线。首次越线者成功则被束缚 1 轮；主要动作、体魄＋运动 DC13 可破坏锚点。</x:v>
      </x:c>
    </x:row>
    <x:row r="11" ht="42" customHeight="1">
      <x:c r="A11" s="58" t="str">
        <x:v>隐匿幕</x:v>
      </x:c>
      <x:c r="B11" s="58" t="str">
        <x:v>结界系谱</x:v>
      </x:c>
      <x:c r="C11" s="58" t="str">
        <x:v>二阶</x:v>
      </x:c>
      <x:c r="D11" s="26" t="n">
        <x:v>2</x:v>
      </x:c>
      <x:c r="E11" s="26" t="str">
        <x:v>仪式 10 分钟</x:v>
      </x:c>
      <x:c r="F11" s="26" t="str">
        <x:v>2 MP</x:v>
      </x:c>
      <x:c r="G11" s="26" t="n">
        <x:v>13</x:v>
      </x:c>
      <x:c r="H11" s="26" t="str">
        <x:v>防御／撤退；非战斗</x:v>
      </x:c>
      <x:c r="I11" s="26" t="n">
        <x:v>1</x:v>
      </x:c>
      <x:c r="J11" s="26" t="n">
        <x:v>1</x:v>
      </x:c>
      <x:c r="K11" s="58" t="str">
        <x:v>一个房间；外界侦测需以感知＋侦查对施术总值。攻击、宝具或破坏锚点会使幕布失效。</x:v>
      </x:c>
    </x:row>
    <x:row r="12" ht="42" customHeight="1">
      <x:c r="A12" s="58" t="str">
        <x:v>工房界</x:v>
      </x:c>
      <x:c r="B12" s="58" t="str">
        <x:v>结界系谱</x:v>
      </x:c>
      <x:c r="C12" s="58" t="str">
        <x:v>三阶</x:v>
      </x:c>
      <x:c r="D12" s="26" t="n">
        <x:v>3</x:v>
      </x:c>
      <x:c r="E12" s="26" t="str">
        <x:v>仪式 10 分钟</x:v>
      </x:c>
      <x:c r="F12" s="26" t="str">
        <x:v>4 MP</x:v>
      </x:c>
      <x:c r="G12" s="26" t="n">
        <x:v>16</x:v>
      </x:c>
      <x:c r="H12" s="26" t="str">
        <x:v>调查／支援</x:v>
      </x:c>
      <x:c r="I12" s="26" t="n">
        <x:v>1</x:v>
      </x:c>
      <x:c r="J12" s="26" t="n">
        <x:v>0</x:v>
      </x:c>
      <x:c r="K12" s="58" t="str">
        <x:v>固定房间；选择一个魔术领域，其中施术 +2，且每场一次短休多恢复 2 MP。离开、锚点被毁或反制成功即失效。</x:v>
      </x:c>
    </x:row>
    <x:row r="13" ht="42" customHeight="1">
      <x:c r="A13" s="58" t="str">
        <x:v>断绝结界</x:v>
      </x:c>
      <x:c r="B13" s="58" t="str">
        <x:v>结界系谱</x:v>
      </x:c>
      <x:c r="C13" s="58" t="str">
        <x:v>四阶</x:v>
      </x:c>
      <x:c r="D13" s="26" t="n">
        <x:v>4</x:v>
      </x:c>
      <x:c r="E13" s="26" t="str">
        <x:v>仪式</x:v>
      </x:c>
      <x:c r="F13" s="26" t="str">
        <x:v>6+ MP</x:v>
      </x:c>
      <x:c r="G13" s="26" t="n">
        <x:v>19</x:v>
      </x:c>
      <x:c r="H13" s="26" t="str">
        <x:v>防御／撤退</x:v>
      </x:c>
      <x:c r="I13" s="26" t="n">
        <x:v>0</x:v>
      </x:c>
      <x:c r="J13" s="26" t="n">
        <x:v>1</x:v>
      </x:c>
      <x:c r="K13" s="58" t="str">
        <x:v>三个锚点围成一个距离带；选定一种尺度，阻止其出入 3 轮。破坏任一锚点、同阶反制或概念通行权可突破。</x:v>
      </x:c>
    </x:row>
    <x:row r="14" ht="42" customHeight="1">
      <x:c r="A14" s="58" t="str">
        <x:v>筋力强化</x:v>
      </x:c>
      <x:c r="B14" s="58" t="str">
        <x:v>强化系谱</x:v>
      </x:c>
      <x:c r="C14" s="58" t="str">
        <x:v>一阶</x:v>
      </x:c>
      <x:c r="D14" s="26" t="n">
        <x:v>1</x:v>
      </x:c>
      <x:c r="E14" s="26" t="str">
        <x:v>次要</x:v>
      </x:c>
      <x:c r="F14" s="26" t="str">
        <x:v>1 MP</x:v>
      </x:c>
      <x:c r="G14" s="26" t="n">
        <x:v>10</x:v>
      </x:c>
      <x:c r="H14" s="26" t="str">
        <x:v>攻击／控制</x:v>
      </x:c>
      <x:c r="I14" s="26" t="n">
        <x:v>0</x:v>
      </x:c>
      <x:c r="J14" s="26" t="n">
        <x:v>0</x:v>
      </x:c>
      <x:c r="K14" s="58" t="str">
        <x:v>自己持续 2 轮；体魄相关检定 +2。它不额外增加固定伤害，且不与同名礼装加值叠加。</x:v>
      </x:c>
    </x:row>
    <x:row r="15" ht="42" customHeight="1">
      <x:c r="A15" s="58" t="str">
        <x:v>疾步</x:v>
      </x:c>
      <x:c r="B15" s="58" t="str">
        <x:v>强化系谱</x:v>
      </x:c>
      <x:c r="C15" s="58" t="str">
        <x:v>一阶</x:v>
      </x:c>
      <x:c r="D15" s="26" t="n">
        <x:v>1</x:v>
      </x:c>
      <x:c r="E15" s="26" t="str">
        <x:v>次要</x:v>
      </x:c>
      <x:c r="F15" s="26" t="str">
        <x:v>1 MP</x:v>
      </x:c>
      <x:c r="G15" s="26" t="n">
        <x:v>10</x:v>
      </x:c>
      <x:c r="H15" s="26" t="str">
        <x:v>防御／撤退</x:v>
      </x:c>
      <x:c r="I15" s="26" t="n">
        <x:v>0</x:v>
      </x:c>
      <x:c r="J15" s="26" t="n">
        <x:v>1</x:v>
      </x:c>
      <x:c r="K15" s="58" t="str">
        <x:v>自己立刻移动 1 个距离带，不触发借机攻击；本回合不能再用冲刺增加移动。</x:v>
      </x:c>
    </x:row>
    <x:row r="16" ht="42" customHeight="1">
      <x:c r="A16" s="58" t="str">
        <x:v>感官增幅</x:v>
      </x:c>
      <x:c r="B16" s="58" t="str">
        <x:v>强化系谱</x:v>
      </x:c>
      <x:c r="C16" s="58" t="str">
        <x:v>一阶</x:v>
      </x:c>
      <x:c r="D16" s="26" t="n">
        <x:v>1</x:v>
      </x:c>
      <x:c r="E16" s="26" t="str">
        <x:v>主要</x:v>
      </x:c>
      <x:c r="F16" s="26" t="str">
        <x:v>1 MP</x:v>
      </x:c>
      <x:c r="G16" s="26" t="n">
        <x:v>10</x:v>
      </x:c>
      <x:c r="H16" s="26" t="str">
        <x:v>调查／支援</x:v>
      </x:c>
      <x:c r="I16" s="26" t="n">
        <x:v>1</x:v>
      </x:c>
      <x:c r="J16" s="26" t="n">
        <x:v>0</x:v>
      </x:c>
      <x:c r="K16" s="58" t="str">
        <x:v>自己持续 10 分钟；感知＋侦查 +2，并能察觉近距魔力波动。强光、噪声或感官攻击使该检定劣势。</x:v>
      </x:c>
    </x:row>
    <x:row r="17" ht="42" customHeight="1">
      <x:c r="A17" s="58" t="str">
        <x:v>神秘武装化</x:v>
      </x:c>
      <x:c r="B17" s="58" t="str">
        <x:v>强化系谱</x:v>
      </x:c>
      <x:c r="C17" s="58" t="str">
        <x:v>二阶</x:v>
      </x:c>
      <x:c r="D17" s="26" t="n">
        <x:v>2</x:v>
      </x:c>
      <x:c r="E17" s="26" t="str">
        <x:v>主要</x:v>
      </x:c>
      <x:c r="F17" s="26" t="str">
        <x:v>2 MP</x:v>
      </x:c>
      <x:c r="G17" s="26" t="n">
        <x:v>13</x:v>
      </x:c>
      <x:c r="H17" s="26" t="str">
        <x:v>攻击／控制</x:v>
      </x:c>
      <x:c r="I17" s="26" t="n">
        <x:v>0</x:v>
      </x:c>
      <x:c r="J17" s="26" t="n">
        <x:v>0</x:v>
      </x:c>
      <x:c r="K17" s="58" t="str">
        <x:v>接触一件武器；本场景获得神秘尺度，但不增加基础伤害。武器离手一轮、被反制或媒介破坏即结束。</x:v>
      </x:c>
    </x:row>
    <x:row r="18" ht="42" customHeight="1">
      <x:c r="A18" s="58" t="str">
        <x:v>强韧回路</x:v>
      </x:c>
      <x:c r="B18" s="58" t="str">
        <x:v>强化系谱</x:v>
      </x:c>
      <x:c r="C18" s="58" t="str">
        <x:v>二阶</x:v>
      </x:c>
      <x:c r="D18" s="26" t="n">
        <x:v>2</x:v>
      </x:c>
      <x:c r="E18" s="26" t="str">
        <x:v>反应</x:v>
      </x:c>
      <x:c r="F18" s="26" t="str">
        <x:v>2 MP</x:v>
      </x:c>
      <x:c r="G18" s="26" t="n">
        <x:v>13</x:v>
      </x:c>
      <x:c r="H18" s="26" t="str">
        <x:v>防御／撤退</x:v>
      </x:c>
      <x:c r="I18" s="26" t="n">
        <x:v>0</x:v>
      </x:c>
      <x:c r="J18" s="26" t="n">
        <x:v>1</x:v>
      </x:c>
      <x:c r="K18" s="58" t="str">
        <x:v>自己受到身体或魔术伤害时减 4；随后直到下回合结束，施术检定 -1。</x:v>
      </x:c>
    </x:row>
    <x:row r="19" ht="42" customHeight="1">
      <x:c r="A19" s="58" t="str">
        <x:v>极限驱动</x:v>
      </x:c>
      <x:c r="B19" s="58" t="str">
        <x:v>强化系谱</x:v>
      </x:c>
      <x:c r="C19" s="58" t="str">
        <x:v>三阶</x:v>
      </x:c>
      <x:c r="D19" s="26" t="n">
        <x:v>3</x:v>
      </x:c>
      <x:c r="E19" s="26" t="str">
        <x:v>次要</x:v>
      </x:c>
      <x:c r="F19" s="26" t="str">
        <x:v>4 MP</x:v>
      </x:c>
      <x:c r="G19" s="26" t="n">
        <x:v>16</x:v>
      </x:c>
      <x:c r="H19" s="26" t="str">
        <x:v>防御／撤退</x:v>
      </x:c>
      <x:c r="I19" s="26" t="n">
        <x:v>0</x:v>
      </x:c>
      <x:c r="J19" s="26" t="n">
        <x:v>1</x:v>
      </x:c>
      <x:c r="K19" s="58" t="str">
        <x:v>选择体魄、耐久或灵巧，相关检定 +2 且减伤 2，持续 2 轮。结束时失去 2 生命并获得回路灼伤；每场一次。</x:v>
      </x:c>
    </x:row>
    <x:row r="20" ht="42" customHeight="1">
      <x:c r="A20" s="58" t="str">
        <x:v>物质鉴定</x:v>
      </x:c>
      <x:c r="B20" s="58" t="str">
        <x:v>炼金系谱</x:v>
      </x:c>
      <x:c r="C20" s="58" t="str">
        <x:v>零阶</x:v>
      </x:c>
      <x:c r="D20" s="26" t="n">
        <x:v>0</x:v>
      </x:c>
      <x:c r="E20" s="26" t="str">
        <x:v>主要</x:v>
      </x:c>
      <x:c r="F20" s="26" t="str">
        <x:v>0 MP</x:v>
      </x:c>
      <x:c r="G20" s="26" t="n">
        <x:v>0</x:v>
      </x:c>
      <x:c r="H20" s="26" t="str">
        <x:v>调查／支援</x:v>
      </x:c>
      <x:c r="I20" s="26" t="n">
        <x:v>1</x:v>
      </x:c>
      <x:c r="J20" s="26" t="n">
        <x:v>0</x:v>
      </x:c>
      <x:c r="K20" s="58" t="str">
        <x:v>接触样本；辨认主要材质、毒性与显著魔术加工。复杂配方仍需学识＋魔术或技术。</x:v>
      </x:c>
    </x:row>
    <x:row r="21" ht="42" customHeight="1">
      <x:c r="A21" s="58" t="str">
        <x:v>凝血剂</x:v>
      </x:c>
      <x:c r="B21" s="58" t="str">
        <x:v>炼金系谱</x:v>
      </x:c>
      <x:c r="C21" s="58" t="str">
        <x:v>一阶</x:v>
      </x:c>
      <x:c r="D21" s="26" t="n">
        <x:v>1</x:v>
      </x:c>
      <x:c r="E21" s="26" t="str">
        <x:v>主要</x:v>
      </x:c>
      <x:c r="F21" s="26" t="str">
        <x:v>1 MP</x:v>
      </x:c>
      <x:c r="G21" s="26" t="n">
        <x:v>10</x:v>
      </x:c>
      <x:c r="H21" s="26" t="str">
        <x:v>调查／支援</x:v>
      </x:c>
      <x:c r="I21" s="26" t="n">
        <x:v>1</x:v>
      </x:c>
      <x:c r="J21" s="26" t="n">
        <x:v>0</x:v>
      </x:c>
      <x:c r="K21" s="58" t="str">
        <x:v>学识＋医疗 DC10；接触目标恢复 2 生命并移除流血。每名目标每场一次；失败仍可稳定倒地者。</x:v>
      </x:c>
    </x:row>
    <x:row r="22" ht="42" customHeight="1">
      <x:c r="A22" s="58" t="str">
        <x:v>火焰矢</x:v>
      </x:c>
      <x:c r="B22" s="58" t="str">
        <x:v>炼金系谱</x:v>
      </x:c>
      <x:c r="C22" s="58" t="str">
        <x:v>二阶</x:v>
      </x:c>
      <x:c r="D22" s="26" t="n">
        <x:v>2</x:v>
      </x:c>
      <x:c r="E22" s="26" t="str">
        <x:v>主要</x:v>
      </x:c>
      <x:c r="F22" s="26" t="str">
        <x:v>2 MP</x:v>
      </x:c>
      <x:c r="G22" s="26" t="n">
        <x:v>13</x:v>
      </x:c>
      <x:c r="H22" s="26" t="str">
        <x:v>攻击／控制</x:v>
      </x:c>
      <x:c r="I22" s="26" t="n">
        <x:v>0</x:v>
      </x:c>
      <x:c r="J22" s="26" t="n">
        <x:v>0</x:v>
      </x:c>
      <x:c r="K22" s="58" t="str">
        <x:v>魔力＋魔术对回避，近距单体；成功 4 伤害，大成功 6 或暴露。可由闪避、耐火与反制应对。</x:v>
      </x:c>
    </x:row>
    <x:row r="23" ht="42" customHeight="1">
      <x:c r="A23" s="58" t="str">
        <x:v>冰封楔</x:v>
      </x:c>
      <x:c r="B23" s="58" t="str">
        <x:v>炼金系谱</x:v>
      </x:c>
      <x:c r="C23" s="58" t="str">
        <x:v>二阶</x:v>
      </x:c>
      <x:c r="D23" s="26" t="n">
        <x:v>2</x:v>
      </x:c>
      <x:c r="E23" s="26" t="str">
        <x:v>主要</x:v>
      </x:c>
      <x:c r="F23" s="26" t="str">
        <x:v>2 MP</x:v>
      </x:c>
      <x:c r="G23" s="26" t="n">
        <x:v>13</x:v>
      </x:c>
      <x:c r="H23" s="26" t="str">
        <x:v>攻击／控制</x:v>
      </x:c>
      <x:c r="I23" s="26" t="n">
        <x:v>0</x:v>
      </x:c>
      <x:c r="J23" s="26" t="n">
        <x:v>0</x:v>
      </x:c>
      <x:c r="K23" s="58" t="str">
        <x:v>魔力＋魔术对坚韧，近距单体；2 伤害并失衡，差 5+ 时改为束缚 1 轮。热源或主要动作可解除。</x:v>
      </x:c>
    </x:row>
    <x:row r="24" ht="42" customHeight="1">
      <x:c r="A24" s="58" t="str">
        <x:v>临时构装</x:v>
      </x:c>
      <x:c r="B24" s="58" t="str">
        <x:v>炼金系谱</x:v>
      </x:c>
      <x:c r="C24" s="58" t="str">
        <x:v>二阶</x:v>
      </x:c>
      <x:c r="D24" s="26" t="n">
        <x:v>2</x:v>
      </x:c>
      <x:c r="E24" s="26" t="str">
        <x:v>仪式 1 分钟</x:v>
      </x:c>
      <x:c r="F24" s="26" t="str">
        <x:v>2 MP</x:v>
      </x:c>
      <x:c r="G24" s="26" t="n">
        <x:v>13</x:v>
      </x:c>
      <x:c r="H24" s="26" t="str">
        <x:v>防御／撤退；非战斗</x:v>
      </x:c>
      <x:c r="I24" s="26" t="n">
        <x:v>1</x:v>
      </x:c>
      <x:c r="J24" s="26" t="n">
        <x:v>1</x:v>
      </x:c>
      <x:c r="K24" s="58" t="str">
        <x:v>塑造一件工具、轻型掩体或护甲 1，持续本场景。承受 6 点伤害、离开施术者一带或被反制后崩解。</x:v>
      </x:c>
    </x:row>
    <x:row r="25" ht="42" customHeight="1">
      <x:c r="A25" s="58" t="str">
        <x:v>血肉修复</x:v>
      </x:c>
      <x:c r="B25" s="58" t="str">
        <x:v>炼金系谱</x:v>
      </x:c>
      <x:c r="C25" s="58" t="str">
        <x:v>三阶</x:v>
      </x:c>
      <x:c r="D25" s="26" t="n">
        <x:v>3</x:v>
      </x:c>
      <x:c r="E25" s="26" t="str">
        <x:v>主要</x:v>
      </x:c>
      <x:c r="F25" s="26" t="str">
        <x:v>4 MP</x:v>
      </x:c>
      <x:c r="G25" s="26" t="n">
        <x:v>16</x:v>
      </x:c>
      <x:c r="H25" s="26" t="str">
        <x:v>调查／支援</x:v>
      </x:c>
      <x:c r="I25" s="26" t="n">
        <x:v>1</x:v>
      </x:c>
      <x:c r="J25" s="26" t="n">
        <x:v>0</x:v>
      </x:c>
      <x:c r="K25" s="58" t="str">
        <x:v>魔力＋医疗 DC16；接触目标恢复 6 生命并移除一种身体状态。每目标每完整休整一次；失败时施术者失去 2 生命。</x:v>
      </x:c>
    </x:row>
    <x:row r="26" ht="42" customHeight="1">
      <x:c r="A26" s="58" t="str">
        <x:v>纸鸟使魔</x:v>
      </x:c>
      <x:c r="B26" s="58" t="str">
        <x:v>召唤系谱</x:v>
      </x:c>
      <x:c r="C26" s="58" t="str">
        <x:v>一阶</x:v>
      </x:c>
      <x:c r="D26" s="26" t="n">
        <x:v>1</x:v>
      </x:c>
      <x:c r="E26" s="26" t="str">
        <x:v>仪式 1 分钟</x:v>
      </x:c>
      <x:c r="F26" s="26" t="str">
        <x:v>1 MP</x:v>
      </x:c>
      <x:c r="G26" s="26" t="n">
        <x:v>10</x:v>
      </x:c>
      <x:c r="H26" s="26" t="str">
        <x:v>调查／支援</x:v>
      </x:c>
      <x:c r="I26" s="26" t="n">
        <x:v>1</x:v>
      </x:c>
      <x:c r="J26" s="26" t="n">
        <x:v>0</x:v>
      </x:c>
      <x:c r="K26" s="58" t="str">
        <x:v>召出微型侦察使魔 10 分钟；可传回图像，防御 10、生命 1。攻击、结界或失去联系会消灭它。</x:v>
      </x:c>
    </x:row>
    <x:row r="27" ht="42" customHeight="1">
      <x:c r="A27" s="58" t="str">
        <x:v>追迹犬灵</x:v>
      </x:c>
      <x:c r="B27" s="58" t="str">
        <x:v>召唤系谱</x:v>
      </x:c>
      <x:c r="C27" s="58" t="str">
        <x:v>一阶</x:v>
      </x:c>
      <x:c r="D27" s="26" t="n">
        <x:v>1</x:v>
      </x:c>
      <x:c r="E27" s="26" t="str">
        <x:v>主要</x:v>
      </x:c>
      <x:c r="F27" s="26" t="str">
        <x:v>1 MP</x:v>
      </x:c>
      <x:c r="G27" s="26" t="n">
        <x:v>10</x:v>
      </x:c>
      <x:c r="H27" s="26" t="str">
        <x:v>调查／支援</x:v>
      </x:c>
      <x:c r="I27" s="26" t="n">
        <x:v>1</x:v>
      </x:c>
      <x:c r="J27" s="26" t="n">
        <x:v>0</x:v>
      </x:c>
      <x:c r="K27" s="58" t="str">
        <x:v>给定气味、物品或魔力残留；本场景追踪检定获得优势。跨越结界、流水或传送会中断。</x:v>
      </x:c>
    </x:row>
    <x:row r="28" ht="42" customHeight="1">
      <x:c r="A28" s="58" t="str">
        <x:v>传讯鸦</x:v>
      </x:c>
      <x:c r="B28" s="58" t="str">
        <x:v>召唤系谱</x:v>
      </x:c>
      <x:c r="C28" s="58" t="str">
        <x:v>二阶</x:v>
      </x:c>
      <x:c r="D28" s="26" t="n">
        <x:v>2</x:v>
      </x:c>
      <x:c r="E28" s="26" t="str">
        <x:v>仪式 1 分钟</x:v>
      </x:c>
      <x:c r="F28" s="26" t="str">
        <x:v>2 MP</x:v>
      </x:c>
      <x:c r="G28" s="26" t="n">
        <x:v>13</x:v>
      </x:c>
      <x:c r="H28" s="26" t="str">
        <x:v>调查／支援</x:v>
      </x:c>
      <x:c r="I28" s="26" t="n">
        <x:v>1</x:v>
      </x:c>
      <x:c r="J28" s="26" t="n">
        <x:v>0</x:v>
      </x:c>
      <x:c r="K28" s="58" t="str">
        <x:v>向同城、已知且有媒介的目标传递不超过一分钟的信息，并带回一句回复。拦截使魔可读取信息。</x:v>
      </x:c>
    </x:row>
    <x:row r="29" ht="42" customHeight="1">
      <x:c r="A29" s="58" t="str">
        <x:v>守护偶</x:v>
      </x:c>
      <x:c r="B29" s="58" t="str">
        <x:v>召唤系谱</x:v>
      </x:c>
      <x:c r="C29" s="58" t="str">
        <x:v>二阶</x:v>
      </x:c>
      <x:c r="D29" s="26" t="n">
        <x:v>2</x:v>
      </x:c>
      <x:c r="E29" s="26" t="str">
        <x:v>主要</x:v>
      </x:c>
      <x:c r="F29" s="26" t="str">
        <x:v>2 MP</x:v>
      </x:c>
      <x:c r="G29" s="26" t="n">
        <x:v>13</x:v>
      </x:c>
      <x:c r="H29" s="26" t="str">
        <x:v>防御／撤退</x:v>
      </x:c>
      <x:c r="I29" s="26" t="n">
        <x:v>0</x:v>
      </x:c>
      <x:c r="J29" s="26" t="n">
        <x:v>1</x:v>
      </x:c>
      <x:c r="K29" s="58" t="str">
        <x:v>近距召出生命 6、防御 12 的构装体；它每轮可用反应保护一名相邻目标，不能独立攻击。持续本场景。</x:v>
      </x:c>
    </x:row>
    <x:row r="30" ht="42" customHeight="1">
      <x:c r="A30" s="58" t="str">
        <x:v>群使魔</x:v>
      </x:c>
      <x:c r="B30" s="58" t="str">
        <x:v>召唤系谱</x:v>
      </x:c>
      <x:c r="C30" s="58" t="str">
        <x:v>三阶</x:v>
      </x:c>
      <x:c r="D30" s="26" t="n">
        <x:v>3</x:v>
      </x:c>
      <x:c r="E30" s="26" t="str">
        <x:v>主要</x:v>
      </x:c>
      <x:c r="F30" s="26" t="str">
        <x:v>4 MP</x:v>
      </x:c>
      <x:c r="G30" s="26" t="n">
        <x:v>16</x:v>
      </x:c>
      <x:c r="H30" s="26" t="str">
        <x:v>攻击／控制</x:v>
      </x:c>
      <x:c r="I30" s="26" t="n">
        <x:v>0</x:v>
      </x:c>
      <x:c r="J30" s="26" t="n">
        <x:v>0</x:v>
      </x:c>
      <x:c r="K30" s="58" t="str">
        <x:v>覆盖一个距离带 2 轮；区域内敌人视为暴露，移动需精神 DC16，否则停止。范围攻击可提前清除。</x:v>
      </x:c>
    </x:row>
    <x:row r="31" ht="42" customHeight="1">
      <x:c r="A31" s="58" t="str">
        <x:v>大召唤门</x:v>
      </x:c>
      <x:c r="B31" s="58" t="str">
        <x:v>召唤系谱</x:v>
      </x:c>
      <x:c r="C31" s="58" t="str">
        <x:v>四阶</x:v>
      </x:c>
      <x:c r="D31" s="26" t="n">
        <x:v>4</x:v>
      </x:c>
      <x:c r="E31" s="26" t="str">
        <x:v>仪式</x:v>
      </x:c>
      <x:c r="F31" s="26" t="str">
        <x:v>6+ MP</x:v>
      </x:c>
      <x:c r="G31" s="26" t="n">
        <x:v>19</x:v>
      </x:c>
      <x:c r="H31" s="26" t="str">
        <x:v>调查／支援</x:v>
      </x:c>
      <x:c r="I31" s="26" t="n">
        <x:v>1</x:v>
      </x:c>
      <x:c r="J31" s="26" t="n">
        <x:v>0</x:v>
      </x:c>
      <x:c r="K31" s="58" t="str">
        <x:v>召来一名与契约、真名或供物相符的高位存在，执行一项场景任务。必须预先写明代价、拒绝条件与解除方法。</x:v>
      </x:c>
    </x:row>
    <x:row r="32" ht="42" customHeight="1">
      <x:c r="A32" s="58" t="str">
        <x:v>警示符</x:v>
      </x:c>
      <x:c r="B32" s="58" t="str">
        <x:v>符文系谱</x:v>
      </x:c>
      <x:c r="C32" s="58" t="str">
        <x:v>零阶</x:v>
      </x:c>
      <x:c r="D32" s="26" t="n">
        <x:v>0</x:v>
      </x:c>
      <x:c r="E32" s="26" t="str">
        <x:v>主要</x:v>
      </x:c>
      <x:c r="F32" s="26" t="str">
        <x:v>0 MP</x:v>
      </x:c>
      <x:c r="G32" s="26" t="n">
        <x:v>0</x:v>
      </x:c>
      <x:c r="H32" s="26" t="str">
        <x:v>调查／支援</x:v>
      </x:c>
      <x:c r="I32" s="26" t="n">
        <x:v>1</x:v>
      </x:c>
      <x:c r="J32" s="26" t="n">
        <x:v>0</x:v>
      </x:c>
      <x:c r="K32" s="58" t="str">
        <x:v>在物体上留下可见或隐蔽标记；被触碰时发出声音、光或短讯。侦查可发现，擦除即可解除。</x:v>
      </x:c>
    </x:row>
    <x:row r="33" ht="42" customHeight="1">
      <x:c r="A33" s="58" t="str">
        <x:v>爆裂刻印</x:v>
      </x:c>
      <x:c r="B33" s="58" t="str">
        <x:v>符文系谱</x:v>
      </x:c>
      <x:c r="C33" s="58" t="str">
        <x:v>一阶</x:v>
      </x:c>
      <x:c r="D33" s="26" t="n">
        <x:v>1</x:v>
      </x:c>
      <x:c r="E33" s="26" t="str">
        <x:v>主要</x:v>
      </x:c>
      <x:c r="F33" s="26" t="str">
        <x:v>1 MP</x:v>
      </x:c>
      <x:c r="G33" s="26" t="n">
        <x:v>10</x:v>
      </x:c>
      <x:c r="H33" s="26" t="str">
        <x:v>攻击／控制</x:v>
      </x:c>
      <x:c r="I33" s="26" t="n">
        <x:v>0</x:v>
      </x:c>
      <x:c r="J33" s="26" t="n">
        <x:v>0</x:v>
      </x:c>
      <x:c r="K33" s="58" t="str">
        <x:v>预先刻在物体；触发时对接触目标造成 2 伤害，灵巧＋运动 DC10 可减为 0。一次性。</x:v>
      </x:c>
    </x:row>
    <x:row r="34" ht="42" customHeight="1">
      <x:c r="A34" s="58" t="str">
        <x:v>缚足刻印</x:v>
      </x:c>
      <x:c r="B34" s="58" t="str">
        <x:v>符文系谱</x:v>
      </x:c>
      <x:c r="C34" s="58" t="str">
        <x:v>二阶</x:v>
      </x:c>
      <x:c r="D34" s="26" t="n">
        <x:v>2</x:v>
      </x:c>
      <x:c r="E34" s="26" t="str">
        <x:v>主要</x:v>
      </x:c>
      <x:c r="F34" s="26" t="str">
        <x:v>2 MP</x:v>
      </x:c>
      <x:c r="G34" s="26" t="n">
        <x:v>13</x:v>
      </x:c>
      <x:c r="H34" s="26" t="str">
        <x:v>攻击／控制</x:v>
      </x:c>
      <x:c r="I34" s="26" t="n">
        <x:v>0</x:v>
      </x:c>
      <x:c r="J34" s="26" t="n">
        <x:v>0</x:v>
      </x:c>
      <x:c r="K34" s="58" t="str">
        <x:v>魔力＋魔术对坚韧；成功束缚 1 轮。目标可用主要动作破坏刻印或挣脱。</x:v>
      </x:c>
    </x:row>
    <x:row r="35" ht="42" customHeight="1">
      <x:c r="A35" s="58" t="str">
        <x:v>衰弱文</x:v>
      </x:c>
      <x:c r="B35" s="58" t="str">
        <x:v>符文系谱</x:v>
      </x:c>
      <x:c r="C35" s="58" t="str">
        <x:v>二阶</x:v>
      </x:c>
      <x:c r="D35" s="26" t="n">
        <x:v>2</x:v>
      </x:c>
      <x:c r="E35" s="26" t="str">
        <x:v>主要</x:v>
      </x:c>
      <x:c r="F35" s="26" t="str">
        <x:v>2 MP</x:v>
      </x:c>
      <x:c r="G35" s="26" t="n">
        <x:v>13</x:v>
      </x:c>
      <x:c r="H35" s="26" t="str">
        <x:v>攻击／控制</x:v>
      </x:c>
      <x:c r="I35" s="26" t="n">
        <x:v>0</x:v>
      </x:c>
      <x:c r="J35" s="26" t="n">
        <x:v>0</x:v>
      </x:c>
      <x:c r="K35" s="58" t="str">
        <x:v>魔力＋魔术对精神；成功后目标下一次相关检定 -2，或下一次受伤忽略 2 护甲，二选一。清除标记可终止。</x:v>
      </x:c>
    </x:row>
    <x:row r="36" ht="42" customHeight="1">
      <x:c r="A36" s="58" t="str">
        <x:v>反噬印</x:v>
      </x:c>
      <x:c r="B36" s="58" t="str">
        <x:v>符文系谱</x:v>
      </x:c>
      <x:c r="C36" s="58" t="str">
        <x:v>三阶</x:v>
      </x:c>
      <x:c r="D36" s="26" t="n">
        <x:v>3</x:v>
      </x:c>
      <x:c r="E36" s="26" t="str">
        <x:v>反应</x:v>
      </x:c>
      <x:c r="F36" s="26" t="str">
        <x:v>4 MP</x:v>
      </x:c>
      <x:c r="G36" s="26" t="n">
        <x:v>16</x:v>
      </x:c>
      <x:c r="H36" s="26" t="str">
        <x:v>防御／撤退</x:v>
      </x:c>
      <x:c r="I36" s="26" t="n">
        <x:v>0</x:v>
      </x:c>
      <x:c r="J36" s="26" t="n">
        <x:v>1</x:v>
      </x:c>
      <x:c r="K36" s="58" t="str">
        <x:v>被术式指定时，以魔力＋魔术对抗施术总值；成功令其效果降低一阶，大成功再使对方受到 4 伤害。印记用后消失。</x:v>
      </x:c>
    </x:row>
    <x:row r="37" ht="42" customHeight="1">
      <x:c r="A37" s="58" t="str">
        <x:v>终止文</x:v>
      </x:c>
      <x:c r="B37" s="58" t="str">
        <x:v>符文系谱</x:v>
      </x:c>
      <x:c r="C37" s="58" t="str">
        <x:v>四阶</x:v>
      </x:c>
      <x:c r="D37" s="26" t="n">
        <x:v>4</x:v>
      </x:c>
      <x:c r="E37" s="26" t="str">
        <x:v>仪式</x:v>
      </x:c>
      <x:c r="F37" s="26" t="str">
        <x:v>6+ MP</x:v>
      </x:c>
      <x:c r="G37" s="26" t="n">
        <x:v>19</x:v>
      </x:c>
      <x:c r="H37" s="26" t="str">
        <x:v>防御／撤退</x:v>
      </x:c>
      <x:c r="I37" s="26" t="n">
        <x:v>0</x:v>
      </x:c>
      <x:c r="J37" s="26" t="n">
        <x:v>1</x:v>
      </x:c>
      <x:c r="K37" s="58" t="str">
        <x:v>封印一个已知能力、门户或契约条款，直到写明的解除条件成立。真名、同阶反制或破坏承载物可解除。</x:v>
      </x:c>
    </x:row>
    <x:row r="38" ht="42" customHeight="1">
      <x:c r="A38" s="58" t="str">
        <x:v>片刻预兆</x:v>
      </x:c>
      <x:c r="B38" s="58" t="str">
        <x:v>占星系谱</x:v>
      </x:c>
      <x:c r="C38" s="58" t="str">
        <x:v>零阶</x:v>
      </x:c>
      <x:c r="D38" s="26" t="n">
        <x:v>0</x:v>
      </x:c>
      <x:c r="E38" s="26" t="str">
        <x:v>主要</x:v>
      </x:c>
      <x:c r="F38" s="26" t="str">
        <x:v>0 MP</x:v>
      </x:c>
      <x:c r="G38" s="26" t="n">
        <x:v>0</x:v>
      </x:c>
      <x:c r="H38" s="26" t="str">
        <x:v>调查／支援</x:v>
      </x:c>
      <x:c r="I38" s="26" t="n">
        <x:v>1</x:v>
      </x:c>
      <x:c r="J38" s="26" t="n">
        <x:v>0</x:v>
      </x:c>
      <x:c r="K38" s="58" t="str">
        <x:v>询问未来十分钟内最明显的危险方向；主持人给出诚实但简短的征兆。每场一次。</x:v>
      </x:c>
    </x:row>
    <x:row r="39" ht="42" customHeight="1">
      <x:c r="A39" s="58" t="str">
        <x:v>危机先知</x:v>
      </x:c>
      <x:c r="B39" s="58" t="str">
        <x:v>占星系谱</x:v>
      </x:c>
      <x:c r="C39" s="58" t="str">
        <x:v>一阶</x:v>
      </x:c>
      <x:c r="D39" s="26" t="n">
        <x:v>1</x:v>
      </x:c>
      <x:c r="E39" s="26" t="str">
        <x:v>反应</x:v>
      </x:c>
      <x:c r="F39" s="26" t="str">
        <x:v>1 MP</x:v>
      </x:c>
      <x:c r="G39" s="26" t="n">
        <x:v>10</x:v>
      </x:c>
      <x:c r="H39" s="26" t="str">
        <x:v>防御／撤退</x:v>
      </x:c>
      <x:c r="I39" s="26" t="n">
        <x:v>0</x:v>
      </x:c>
      <x:c r="J39" s="26" t="n">
        <x:v>1</x:v>
      </x:c>
      <x:c r="K39" s="58" t="str">
        <x:v>自己或近距盟友的一次回避、坚韧或精神 +2；必须在掷骰前宣布。</x:v>
      </x:c>
    </x:row>
    <x:row r="40" ht="42" customHeight="1">
      <x:c r="A40" s="58" t="str">
        <x:v>寻物星盘</x:v>
      </x:c>
      <x:c r="B40" s="58" t="str">
        <x:v>占星系谱</x:v>
      </x:c>
      <x:c r="C40" s="58" t="str">
        <x:v>二阶</x:v>
      </x:c>
      <x:c r="D40" s="26" t="n">
        <x:v>2</x:v>
      </x:c>
      <x:c r="E40" s="26" t="str">
        <x:v>仪式 10 分钟</x:v>
      </x:c>
      <x:c r="F40" s="26" t="str">
        <x:v>2 MP</x:v>
      </x:c>
      <x:c r="G40" s="26" t="n">
        <x:v>13</x:v>
      </x:c>
      <x:c r="H40" s="26" t="str">
        <x:v>调查／支援</x:v>
      </x:c>
      <x:c r="I40" s="26" t="n">
        <x:v>1</x:v>
      </x:c>
      <x:c r="J40" s="26" t="n">
        <x:v>0</x:v>
      </x:c>
      <x:c r="K40" s="58" t="str">
        <x:v>学识＋魔术 DC13；持有媒介时得知同城目标的大致方向与距离。结界、假媒介或跨界会误导。</x:v>
      </x:c>
    </x:row>
    <x:row r="41" ht="42" customHeight="1">
      <x:c r="A41" s="58" t="str">
        <x:v>星位锁定</x:v>
      </x:c>
      <x:c r="B41" s="58" t="str">
        <x:v>占星系谱</x:v>
      </x:c>
      <x:c r="C41" s="58" t="str">
        <x:v>二阶</x:v>
      </x:c>
      <x:c r="D41" s="26" t="n">
        <x:v>2</x:v>
      </x:c>
      <x:c r="E41" s="26" t="str">
        <x:v>主要</x:v>
      </x:c>
      <x:c r="F41" s="26" t="str">
        <x:v>2 MP</x:v>
      </x:c>
      <x:c r="G41" s="26" t="n">
        <x:v>13</x:v>
      </x:c>
      <x:c r="H41" s="26" t="str">
        <x:v>攻击／控制</x:v>
      </x:c>
      <x:c r="I41" s="26" t="n">
        <x:v>0</x:v>
      </x:c>
      <x:c r="J41" s="26" t="n">
        <x:v>0</x:v>
      </x:c>
      <x:c r="K41" s="58" t="str">
        <x:v>选择可见目标；一名盟友对其下一次检定获得优势。遮蔽、离开视界或本轮结束会使锁定失效。</x:v>
      </x:c>
    </x:row>
    <x:row r="42" ht="42" customHeight="1">
      <x:c r="A42" s="58" t="str">
        <x:v>偏转凶兆</x:v>
      </x:c>
      <x:c r="B42" s="58" t="str">
        <x:v>占星系谱</x:v>
      </x:c>
      <x:c r="C42" s="58" t="str">
        <x:v>三阶</x:v>
      </x:c>
      <x:c r="D42" s="26" t="n">
        <x:v>3</x:v>
      </x:c>
      <x:c r="E42" s="26" t="str">
        <x:v>反应</x:v>
      </x:c>
      <x:c r="F42" s="26" t="str">
        <x:v>4 MP</x:v>
      </x:c>
      <x:c r="G42" s="26" t="n">
        <x:v>16</x:v>
      </x:c>
      <x:c r="H42" s="26" t="str">
        <x:v>防御／撤退</x:v>
      </x:c>
      <x:c r="I42" s="26" t="n">
        <x:v>0</x:v>
      </x:c>
      <x:c r="J42" s="26" t="n">
        <x:v>1</x:v>
      </x:c>
      <x:c r="K42" s="58" t="str">
        <x:v>当盟友失败或被大成功命中时，将结果降低一档；随后主持人获得一个可在本场景使用的凶兆推进。每场一次。</x:v>
      </x:c>
    </x:row>
    <x:row r="43" ht="42" customHeight="1">
      <x:c r="A43" s="58" t="str">
        <x:v>大占仪</x:v>
      </x:c>
      <x:c r="B43" s="58" t="str">
        <x:v>占星系谱</x:v>
      </x:c>
      <x:c r="C43" s="58" t="str">
        <x:v>四阶</x:v>
      </x:c>
      <x:c r="D43" s="26" t="n">
        <x:v>4</x:v>
      </x:c>
      <x:c r="E43" s="26" t="str">
        <x:v>仪式 1 小时</x:v>
      </x:c>
      <x:c r="F43" s="26" t="str">
        <x:v>6+ MP</x:v>
      </x:c>
      <x:c r="G43" s="26" t="n">
        <x:v>19</x:v>
      </x:c>
      <x:c r="H43" s="26" t="str">
        <x:v>调查／支援</x:v>
      </x:c>
      <x:c r="I43" s="26" t="n">
        <x:v>1</x:v>
      </x:c>
      <x:c r="J43" s="26" t="n">
        <x:v>0</x:v>
      </x:c>
      <x:c r="K43" s="58" t="str">
        <x:v>提出三个关于既定事件链的问题；回答真实但可象征化。仪式会留下强烈签名，并让被观测者知道有人窥视。</x:v>
      </x:c>
    </x:row>
    <x:row r="44" ht="42" customHeight="1">
      <x:c r="A44" s="58" t="str">
        <x:v>探脉</x:v>
      </x:c>
      <x:c r="B44" s="58" t="str">
        <x:v>灵脉系谱</x:v>
      </x:c>
      <x:c r="C44" s="58" t="str">
        <x:v>零阶</x:v>
      </x:c>
      <x:c r="D44" s="26" t="n">
        <x:v>0</x:v>
      </x:c>
      <x:c r="E44" s="26" t="str">
        <x:v>主要</x:v>
      </x:c>
      <x:c r="F44" s="26" t="str">
        <x:v>0 MP</x:v>
      </x:c>
      <x:c r="G44" s="26" t="n">
        <x:v>0</x:v>
      </x:c>
      <x:c r="H44" s="26" t="str">
        <x:v>调查／支援</x:v>
      </x:c>
      <x:c r="I44" s="26" t="n">
        <x:v>1</x:v>
      </x:c>
      <x:c r="J44" s="26" t="n">
        <x:v>0</x:v>
      </x:c>
      <x:c r="K44" s="58" t="str">
        <x:v>感知近距内灵脉方向、活跃度与最近一次明显抽取；不提供精确身份。</x:v>
      </x:c>
    </x:row>
    <x:row r="45" ht="42" customHeight="1">
      <x:c r="A45" s="58" t="str">
        <x:v>魔力导流</x:v>
      </x:c>
      <x:c r="B45" s="58" t="str">
        <x:v>灵脉系谱</x:v>
      </x:c>
      <x:c r="C45" s="58" t="str">
        <x:v>一阶</x:v>
      </x:c>
      <x:c r="D45" s="26" t="n">
        <x:v>1</x:v>
      </x:c>
      <x:c r="E45" s="26" t="str">
        <x:v>次要</x:v>
      </x:c>
      <x:c r="F45" s="26" t="str">
        <x:v>1 MP</x:v>
      </x:c>
      <x:c r="G45" s="26" t="n">
        <x:v>10</x:v>
      </x:c>
      <x:c r="H45" s="26" t="str">
        <x:v>调查／支援</x:v>
      </x:c>
      <x:c r="I45" s="26" t="n">
        <x:v>1</x:v>
      </x:c>
      <x:c r="J45" s="26" t="n">
        <x:v>0</x:v>
      </x:c>
      <x:c r="K45" s="58" t="str">
        <x:v>近距愿意目标恢复 1 MP；同一目标每场一次。无法越过断绝结界或中断的契约。</x:v>
      </x:c>
    </x:row>
    <x:row r="46" ht="42" customHeight="1">
      <x:c r="A46" s="58" t="str">
        <x:v>短距跃迁</x:v>
      </x:c>
      <x:c r="B46" s="58" t="str">
        <x:v>灵脉系谱</x:v>
      </x:c>
      <x:c r="C46" s="58" t="str">
        <x:v>二阶</x:v>
      </x:c>
      <x:c r="D46" s="26" t="n">
        <x:v>2</x:v>
      </x:c>
      <x:c r="E46" s="26" t="str">
        <x:v>次要</x:v>
      </x:c>
      <x:c r="F46" s="26" t="str">
        <x:v>2 MP</x:v>
      </x:c>
      <x:c r="G46" s="26" t="n">
        <x:v>13</x:v>
      </x:c>
      <x:c r="H46" s="26" t="str">
        <x:v>防御／撤退</x:v>
      </x:c>
      <x:c r="I46" s="26" t="n">
        <x:v>0</x:v>
      </x:c>
      <x:c r="J46" s="26" t="n">
        <x:v>1</x:v>
      </x:c>
      <x:c r="K46" s="58" t="str">
        <x:v>移动到视线内近距位置并忽略借机攻击；携带另一人需其愿意且再付 1 MP。空间封锁可阻止。</x:v>
      </x:c>
    </x:row>
    <x:row r="47" ht="42" customHeight="1">
      <x:c r="A47" s="58" t="str">
        <x:v>灵脉旁路</x:v>
      </x:c>
      <x:c r="B47" s="58" t="str">
        <x:v>灵脉系谱</x:v>
      </x:c>
      <x:c r="C47" s="58" t="str">
        <x:v>二阶</x:v>
      </x:c>
      <x:c r="D47" s="26" t="n">
        <x:v>2</x:v>
      </x:c>
      <x:c r="E47" s="26" t="str">
        <x:v>仪式 10 分钟</x:v>
      </x:c>
      <x:c r="F47" s="26" t="str">
        <x:v>2 MP</x:v>
      </x:c>
      <x:c r="G47" s="26" t="n">
        <x:v>13</x:v>
      </x:c>
      <x:c r="H47" s="26" t="str">
        <x:v>调查／支援</x:v>
      </x:c>
      <x:c r="I47" s="26" t="n">
        <x:v>1</x:v>
      </x:c>
      <x:c r="J47" s="26" t="n">
        <x:v>0</x:v>
      </x:c>
      <x:c r="K47" s="58" t="str">
        <x:v>学识＋魔术 DC13；让一个房间获得临时供能，短休额外恢复 2 MP。失败会暴露位置或污染节点。</x:v>
      </x:c>
    </x:row>
    <x:row r="48" ht="42" customHeight="1">
      <x:c r="A48" s="58" t="str">
        <x:v>锚点之门</x:v>
      </x:c>
      <x:c r="B48" s="58" t="str">
        <x:v>灵脉系谱</x:v>
      </x:c>
      <x:c r="C48" s="58" t="str">
        <x:v>三阶</x:v>
      </x:c>
      <x:c r="D48" s="26" t="n">
        <x:v>3</x:v>
      </x:c>
      <x:c r="E48" s="26" t="str">
        <x:v>仪式 10 分钟</x:v>
      </x:c>
      <x:c r="F48" s="26" t="str">
        <x:v>4 MP</x:v>
      </x:c>
      <x:c r="G48" s="26" t="n">
        <x:v>16</x:v>
      </x:c>
      <x:c r="H48" s="26" t="str">
        <x:v>防御／撤退；非战斗</x:v>
      </x:c>
      <x:c r="I48" s="26" t="n">
        <x:v>1</x:v>
      </x:c>
      <x:c r="J48" s="26" t="n">
        <x:v>1</x:v>
      </x:c>
      <x:c r="K48" s="58" t="str">
        <x:v>连接同城两个预先刻印锚点，一次运送至多四人；每多维持一轮再付 2 MP。破坏任一锚点即关闭。</x:v>
      </x:c>
    </x:row>
    <x:row r="49" ht="42" customHeight="1">
      <x:c r="A49" s="58" t="str">
        <x:v>封锁通路</x:v>
      </x:c>
      <x:c r="B49" s="58" t="str">
        <x:v>灵脉系谱</x:v>
      </x:c>
      <x:c r="C49" s="58" t="str">
        <x:v>四阶</x:v>
      </x:c>
      <x:c r="D49" s="26" t="n">
        <x:v>4</x:v>
      </x:c>
      <x:c r="E49" s="26" t="str">
        <x:v>仪式</x:v>
      </x:c>
      <x:c r="F49" s="26" t="str">
        <x:v>6+ MP</x:v>
      </x:c>
      <x:c r="G49" s="26" t="n">
        <x:v>19</x:v>
      </x:c>
      <x:c r="H49" s="26" t="str">
        <x:v>防御／撤退</x:v>
      </x:c>
      <x:c r="I49" s="26" t="n">
        <x:v>0</x:v>
      </x:c>
      <x:c r="J49" s="26" t="n">
        <x:v>1</x:v>
      </x:c>
      <x:c r="K49" s="58" t="str">
        <x:v>一个距离带内的传送、灵体化与跨界移动需通过精神或魔术 DC19。摧毁核心、同阶反制或概念通行权可绕过。</x:v>
      </x:c>
    </x:row>
    <x:row r="50" ht="42" customHeight="1">
      <x:c r="A50" s="58" t="str">
        <x:v>记忆触痕</x:v>
      </x:c>
      <x:c r="B50" s="58" t="str">
        <x:v>记忆系谱</x:v>
      </x:c>
      <x:c r="C50" s="58" t="str">
        <x:v>零阶</x:v>
      </x:c>
      <x:c r="D50" s="26" t="n">
        <x:v>0</x:v>
      </x:c>
      <x:c r="E50" s="26" t="str">
        <x:v>主要</x:v>
      </x:c>
      <x:c r="F50" s="26" t="str">
        <x:v>0 MP</x:v>
      </x:c>
      <x:c r="G50" s="26" t="n">
        <x:v>0</x:v>
      </x:c>
      <x:c r="H50" s="26" t="str">
        <x:v>调查／支援</x:v>
      </x:c>
      <x:c r="I50" s="26" t="n">
        <x:v>1</x:v>
      </x:c>
      <x:c r="J50" s="26" t="n">
        <x:v>0</x:v>
      </x:c>
      <x:c r="K50" s="58" t="str">
        <x:v>接触物品，判断它是否承载强烈记忆或被记忆术处理；不直接读取内容。</x:v>
      </x:c>
    </x:row>
    <x:row r="51" ht="42" customHeight="1">
      <x:c r="A51" s="58" t="str">
        <x:v>残响读取</x:v>
      </x:c>
      <x:c r="B51" s="58" t="str">
        <x:v>记忆系谱</x:v>
      </x:c>
      <x:c r="C51" s="58" t="str">
        <x:v>一阶</x:v>
      </x:c>
      <x:c r="D51" s="26" t="n">
        <x:v>1</x:v>
      </x:c>
      <x:c r="E51" s="26" t="str">
        <x:v>主要</x:v>
      </x:c>
      <x:c r="F51" s="26" t="str">
        <x:v>1 MP</x:v>
      </x:c>
      <x:c r="G51" s="26" t="n">
        <x:v>10</x:v>
      </x:c>
      <x:c r="H51" s="26" t="str">
        <x:v>调查／支援</x:v>
      </x:c>
      <x:c r="I51" s="26" t="n">
        <x:v>1</x:v>
      </x:c>
      <x:c r="J51" s="26" t="n">
        <x:v>0</x:v>
      </x:c>
      <x:c r="K51" s="58" t="str">
        <x:v>学识＋调查 DC10／13；读取地点最近一次强烈情绪或短暂画面。大成功可追问一个细节。</x:v>
      </x:c>
    </x:row>
    <x:row r="52" ht="42" customHeight="1">
      <x:c r="A52" s="58" t="str">
        <x:v>模糊面孔</x:v>
      </x:c>
      <x:c r="B52" s="58" t="str">
        <x:v>记忆系谱</x:v>
      </x:c>
      <x:c r="C52" s="58" t="str">
        <x:v>一阶</x:v>
      </x:c>
      <x:c r="D52" s="26" t="n">
        <x:v>1</x:v>
      </x:c>
      <x:c r="E52" s="26" t="str">
        <x:v>主要</x:v>
      </x:c>
      <x:c r="F52" s="26" t="str">
        <x:v>1 MP</x:v>
      </x:c>
      <x:c r="G52" s="26" t="n">
        <x:v>10</x:v>
      </x:c>
      <x:c r="H52" s="26" t="str">
        <x:v>攻击／控制</x:v>
      </x:c>
      <x:c r="I52" s="26" t="n">
        <x:v>0</x:v>
      </x:c>
      <x:c r="J52" s="26" t="n">
        <x:v>0</x:v>
      </x:c>
      <x:c r="K52" s="58" t="str">
        <x:v>魔力＋魔术对精神；成功使目标十分钟内难以准确回忆你的面貌。照片、记录和真名不受影响。</x:v>
      </x:c>
    </x:row>
    <x:row r="53" ht="42" customHeight="1">
      <x:c r="A53" s="58" t="str">
        <x:v>记忆封匣</x:v>
      </x:c>
      <x:c r="B53" s="58" t="str">
        <x:v>记忆系谱</x:v>
      </x:c>
      <x:c r="C53" s="58" t="str">
        <x:v>二阶</x:v>
      </x:c>
      <x:c r="D53" s="26" t="n">
        <x:v>2</x:v>
      </x:c>
      <x:c r="E53" s="26" t="str">
        <x:v>仪式 1 分钟</x:v>
      </x:c>
      <x:c r="F53" s="26" t="str">
        <x:v>2 MP</x:v>
      </x:c>
      <x:c r="G53" s="26" t="n">
        <x:v>13</x:v>
      </x:c>
      <x:c r="H53" s="26" t="str">
        <x:v>调查／支援</x:v>
      </x:c>
      <x:c r="I53" s="26" t="n">
        <x:v>1</x:v>
      </x:c>
      <x:c r="J53" s="26" t="n">
        <x:v>0</x:v>
      </x:c>
      <x:c r="K53" s="58" t="str">
        <x:v>把不超过五分钟的自愿记忆存入物件；持有者可回放。破坏封匣会释放碎片并令读取者失衡。</x:v>
      </x:c>
    </x:row>
    <x:row r="54" ht="42" customHeight="1">
      <x:c r="A54" s="58" t="str">
        <x:v>伪景植入</x:v>
      </x:c>
      <x:c r="B54" s="58" t="str">
        <x:v>记忆系谱</x:v>
      </x:c>
      <x:c r="C54" s="58" t="str">
        <x:v>三阶</x:v>
      </x:c>
      <x:c r="D54" s="26" t="n">
        <x:v>3</x:v>
      </x:c>
      <x:c r="E54" s="26" t="str">
        <x:v>主要</x:v>
      </x:c>
      <x:c r="F54" s="26" t="str">
        <x:v>4 MP</x:v>
      </x:c>
      <x:c r="G54" s="26" t="n">
        <x:v>16</x:v>
      </x:c>
      <x:c r="H54" s="26" t="str">
        <x:v>攻击／控制</x:v>
      </x:c>
      <x:c r="I54" s="26" t="n">
        <x:v>0</x:v>
      </x:c>
      <x:c r="J54" s="26" t="n">
        <x:v>0</x:v>
      </x:c>
      <x:c r="K54" s="58" t="str">
        <x:v>魔力＋魔术对精神；植入一个不超过一分钟、与现场大体相容的假记忆。矛盾证据、真名或治疗可触发复检。</x:v>
      </x:c>
    </x:row>
    <x:row r="55" ht="42" customHeight="1">
      <x:c r="A55" s="58" t="str">
        <x:v>档案复原</x:v>
      </x:c>
      <x:c r="B55" s="58" t="str">
        <x:v>记忆系谱</x:v>
      </x:c>
      <x:c r="C55" s="58" t="str">
        <x:v>四阶</x:v>
      </x:c>
      <x:c r="D55" s="26" t="n">
        <x:v>4</x:v>
      </x:c>
      <x:c r="E55" s="26" t="str">
        <x:v>仪式</x:v>
      </x:c>
      <x:c r="F55" s="26" t="str">
        <x:v>6+ MP</x:v>
      </x:c>
      <x:c r="G55" s="26" t="n">
        <x:v>19</x:v>
      </x:c>
      <x:c r="H55" s="26" t="str">
        <x:v>调查／支援</x:v>
      </x:c>
      <x:c r="I55" s="26" t="n">
        <x:v>1</x:v>
      </x:c>
      <x:c r="J55" s="26" t="n">
        <x:v>0</x:v>
      </x:c>
      <x:c r="K55" s="58" t="str">
        <x:v>从多人、记录与残留中重建被删去的一段关键记忆。每位参与者承受一项公开代价；概念性抹除需对应弱点。</x:v>
      </x:c>
    </x:row>
    <x:row r="56" ht="42" customHeight="1">
      <x:c r="A56" s="58" t="str">
        <x:v>灵视</x:v>
      </x:c>
      <x:c r="B56" s="58" t="str">
        <x:v>降灵系谱</x:v>
      </x:c>
      <x:c r="C56" s="58" t="str">
        <x:v>零阶</x:v>
      </x:c>
      <x:c r="D56" s="26" t="n">
        <x:v>0</x:v>
      </x:c>
      <x:c r="E56" s="26" t="str">
        <x:v>主要</x:v>
      </x:c>
      <x:c r="F56" s="26" t="str">
        <x:v>0 MP</x:v>
      </x:c>
      <x:c r="G56" s="26" t="n">
        <x:v>0</x:v>
      </x:c>
      <x:c r="H56" s="26" t="str">
        <x:v>调查／支援</x:v>
      </x:c>
      <x:c r="I56" s="26" t="n">
        <x:v>1</x:v>
      </x:c>
      <x:c r="J56" s="26" t="n">
        <x:v>0</x:v>
      </x:c>
      <x:c r="K56" s="58" t="str">
        <x:v>持续十分钟看见普通灵体、附身痕迹与近距灵核轮廓；强光与高位神秘仍可遮蔽。</x:v>
      </x:c>
    </x:row>
    <x:row r="57" ht="42" customHeight="1">
      <x:c r="A57" s="58" t="str">
        <x:v>安魂</x:v>
      </x:c>
      <x:c r="B57" s="58" t="str">
        <x:v>降灵系谱</x:v>
      </x:c>
      <x:c r="C57" s="58" t="str">
        <x:v>一阶</x:v>
      </x:c>
      <x:c r="D57" s="26" t="n">
        <x:v>1</x:v>
      </x:c>
      <x:c r="E57" s="26" t="str">
        <x:v>主要</x:v>
      </x:c>
      <x:c r="F57" s="26" t="str">
        <x:v>1 MP</x:v>
      </x:c>
      <x:c r="G57" s="26" t="n">
        <x:v>10</x:v>
      </x:c>
      <x:c r="H57" s="26" t="str">
        <x:v>防御／撤退；非战斗</x:v>
      </x:c>
      <x:c r="I57" s="26" t="n">
        <x:v>1</x:v>
      </x:c>
      <x:c r="J57" s="26" t="n">
        <x:v>1</x:v>
      </x:c>
      <x:c r="K57" s="58" t="str">
        <x:v>意志＋魔术对精神或 DC10；移除恐惧，或令普通怨灵平静一轮。敌对高位灵体只会短暂停顿。</x:v>
      </x:c>
    </x:row>
    <x:row r="58" ht="42" customHeight="1">
      <x:c r="A58" s="58" t="str">
        <x:v>问灵</x:v>
      </x:c>
      <x:c r="B58" s="58" t="str">
        <x:v>降灵系谱</x:v>
      </x:c>
      <x:c r="C58" s="58" t="str">
        <x:v>二阶</x:v>
      </x:c>
      <x:c r="D58" s="26" t="n">
        <x:v>2</x:v>
      </x:c>
      <x:c r="E58" s="26" t="str">
        <x:v>仪式 10 分钟</x:v>
      </x:c>
      <x:c r="F58" s="26" t="str">
        <x:v>2 MP</x:v>
      </x:c>
      <x:c r="G58" s="26" t="n">
        <x:v>13</x:v>
      </x:c>
      <x:c r="H58" s="26" t="str">
        <x:v>调查／支援</x:v>
      </x:c>
      <x:c r="I58" s="26" t="n">
        <x:v>1</x:v>
      </x:c>
      <x:c r="J58" s="26" t="n">
        <x:v>0</x:v>
      </x:c>
      <x:c r="K58" s="58" t="str">
        <x:v>以遗物召来残响并问三个问题；回答受死者认知限制。伪造遗物、污染或拒绝会产生误导。</x:v>
      </x:c>
    </x:row>
    <x:row r="59" ht="42" customHeight="1">
      <x:c r="A59" s="58" t="str">
        <x:v>拒灵护印</x:v>
      </x:c>
      <x:c r="B59" s="58" t="str">
        <x:v>降灵系谱</x:v>
      </x:c>
      <x:c r="C59" s="58" t="str">
        <x:v>二阶</x:v>
      </x:c>
      <x:c r="D59" s="26" t="n">
        <x:v>2</x:v>
      </x:c>
      <x:c r="E59" s="26" t="str">
        <x:v>主要</x:v>
      </x:c>
      <x:c r="F59" s="26" t="str">
        <x:v>2 MP</x:v>
      </x:c>
      <x:c r="G59" s="26" t="n">
        <x:v>13</x:v>
      </x:c>
      <x:c r="H59" s="26" t="str">
        <x:v>防御／撤退</x:v>
      </x:c>
      <x:c r="I59" s="26" t="n">
        <x:v>0</x:v>
      </x:c>
      <x:c r="J59" s="26" t="n">
        <x:v>1</x:v>
      </x:c>
      <x:c r="K59" s="58" t="str">
        <x:v>目标持续本场景，对附身、魅惑和灵魂干涉的精神 +2；护印被破坏或目标主动邀请时结束。</x:v>
      </x:c>
    </x:row>
    <x:row r="60" ht="42" customHeight="1">
      <x:c r="A60" s="58" t="str">
        <x:v>灵魂锚</x:v>
      </x:c>
      <x:c r="B60" s="58" t="str">
        <x:v>降灵系谱</x:v>
      </x:c>
      <x:c r="C60" s="58" t="str">
        <x:v>三阶</x:v>
      </x:c>
      <x:c r="D60" s="26" t="n">
        <x:v>3</x:v>
      </x:c>
      <x:c r="E60" s="26" t="str">
        <x:v>反应</x:v>
      </x:c>
      <x:c r="F60" s="26" t="str">
        <x:v>4 MP</x:v>
      </x:c>
      <x:c r="G60" s="26" t="n">
        <x:v>16</x:v>
      </x:c>
      <x:c r="H60" s="26" t="str">
        <x:v>防御／撤退</x:v>
      </x:c>
      <x:c r="I60" s="26" t="n">
        <x:v>0</x:v>
      </x:c>
      <x:c r="J60" s="26" t="n">
        <x:v>1</x:v>
      </x:c>
      <x:c r="K60" s="58" t="str">
        <x:v>接触目标将归零或消散时，使其稳定并保留 1 生命；施术者失去 2 生命。每场一次，概念即死需对应权限。</x:v>
      </x:c>
    </x:row>
    <x:row r="61" ht="42" customHeight="1">
      <x:c r="A61" s="58" t="str">
        <x:v>英雄投影</x:v>
      </x:c>
      <x:c r="B61" s="58" t="str">
        <x:v>降灵系谱</x:v>
      </x:c>
      <x:c r="C61" s="58" t="str">
        <x:v>四阶</x:v>
      </x:c>
      <x:c r="D61" s="26" t="n">
        <x:v>4</x:v>
      </x:c>
      <x:c r="E61" s="26" t="str">
        <x:v>仪式</x:v>
      </x:c>
      <x:c r="F61" s="26" t="str">
        <x:v>6+ MP</x:v>
      </x:c>
      <x:c r="G61" s="26" t="n">
        <x:v>19</x:v>
      </x:c>
      <x:c r="H61" s="26" t="str">
        <x:v>攻击／控制</x:v>
      </x:c>
      <x:c r="I61" s="26" t="n">
        <x:v>0</x:v>
      </x:c>
      <x:c r="J61" s="26" t="n">
        <x:v>0</x:v>
      </x:c>
      <x:c r="K61" s="58" t="str">
        <x:v>借由遗物投影一段英雄传说，赋予一个场景级规则或一次神秘尺度行动。必须写明真名线索、反制和仪式代价。</x:v>
      </x:c>
    </x:row>
  </x:sheetData>
  <x:mergeCells>
    <x:mergeCell ref="A1:K1"/>
    <x:mergeCell ref="A2:K2"/>
    <x:mergeCell ref="B3:D3"/>
    <x:mergeCell ref="J3:K3"/>
    <x:mergeCell ref="B4:E4"/>
    <x:mergeCell ref="I4:K5"/>
  </x:mergeCells>
  <x:dataValidations count="1">
    <x:dataValidation type="list" sqref="B3:D3">
      <x:formula1>'术式书'!$A$8:$A$61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0" hidden="0" customWidth="1"/>
    <x:col min="4" max="4" width="15" hidden="0" customWidth="1"/>
    <x:col min="5" max="5" width="17" hidden="0" customWidth="1"/>
    <x:col min="6" max="6" width="14" hidden="0" customWidth="1"/>
    <x:col min="7" max="7" width="9" hidden="0" customWidth="1"/>
    <x:col min="8" max="8" width="12" hidden="0" customWidth="1"/>
    <x:col min="9" max="9" width="40" hidden="0" customWidth="1"/>
    <x:col min="10" max="10" width="42" hidden="0" customWidth="1"/>
  </x:cols>
  <x:sheetData>
    <x:row r="1" ht="34" customHeight="1">
      <x:c r="A1" s="141" t="str">
        <x:v>魔术礼装目录｜32件</x:v>
      </x:c>
      <x:c r="B1" s="141"/>
      <x:c r="C1" s="141"/>
      <x:c r="D1" s="141"/>
      <x:c r="E1" s="141"/>
      <x:c r="F1" s="141"/>
      <x:c r="G1" s="141"/>
      <x:c r="H1" s="141"/>
      <x:c r="I1" s="141"/>
      <x:c r="J1" s="141"/>
    </x:row>
    <x:row r="2" ht="22" customHeight="1">
      <x:c r="A2" s="144" t="str">
        <x:v>礼装提供工具、尺度与权限，不替代正常检定；起始选择会自动校验稀有度。</x:v>
      </x:c>
      <x:c r="B2" s="144"/>
      <x:c r="C2" s="144"/>
      <x:c r="D2" s="144"/>
      <x:c r="E2" s="144"/>
      <x:c r="F2" s="144"/>
      <x:c r="G2" s="144"/>
      <x:c r="H2" s="144"/>
      <x:c r="I2" s="144"/>
      <x:c r="J2" s="144"/>
    </x:row>
    <x:row r="3">
      <x:c r="A3" s="150" t="str">
        <x:v>预览选择</x:v>
      </x:c>
      <x:c r="B3" s="127" t="str">
        <x:v>魔力储匣</x:v>
      </x:c>
      <x:c r="C3" s="127"/>
      <x:c r="D3" s="127"/>
      <x:c r="E3" s="56" t="str">
        <x:v>类别</x:v>
      </x:c>
      <x:c r="F3" s="139" t="str">
        <x:f>IFERROR(VLOOKUP($B$3,$A$8:$J$39,2,FALSE),"")</x:f>
        <x:v>储能与供魔</x:v>
      </x:c>
      <x:c r="G3" s="139"/>
      <x:c r="H3" s="56" t="str">
        <x:v>等级</x:v>
      </x:c>
      <x:c r="I3" s="139" t="str">
        <x:f>IFERROR(VLOOKUP($B$3,$A$8:$J$39,3,FALSE)&amp;"｜"&amp;VLOOKUP($B$3,$A$8:$J$39,6,FALSE),"")</x:f>
        <x:v>常规｜可直接选择</x:v>
      </x:c>
      <x:c r="J3" s="139"/>
    </x:row>
    <x:row r="4">
      <x:c r="A4" s="56" t="str">
        <x:v>效果</x:v>
      </x:c>
      <x:c r="B4" s="139" t="str">
        <x:f>IFERROR(VLOOKUP($B$3,$A$8:$J$39,9,FALSE),"")</x:f>
        <x:v>储存 2 MP；次要动作取用。</x:v>
      </x:c>
      <x:c r="C4" s="139"/>
      <x:c r="D4" s="139"/>
      <x:c r="E4" s="139"/>
      <x:c r="F4" s="139"/>
      <x:c r="G4" s="139"/>
      <x:c r="H4" s="139"/>
      <x:c r="I4" s="139"/>
      <x:c r="J4" s="139"/>
    </x:row>
    <x:row r="5">
      <x:c r="A5" s="56" t="str">
        <x:v>限制／反制</x:v>
      </x:c>
      <x:c r="B5" s="139" t="str">
        <x:f>IFERROR(VLOOKUP($B$3,$A$8:$J$39,10,FALSE),"")</x:f>
        <x:v>完整休整或灵脉充满；匣体破损会泄露签名。</x:v>
      </x:c>
      <x:c r="C5" s="139"/>
      <x:c r="D5" s="139"/>
      <x:c r="E5" s="139"/>
      <x:c r="F5" s="139"/>
      <x:c r="G5" s="139"/>
      <x:c r="H5" s="139"/>
      <x:c r="I5" s="139"/>
      <x:c r="J5" s="139"/>
    </x:row>
    <x:row r="6">
      <x:c r="A6" s="247"/>
      <x:c r="B6" s="247"/>
      <x:c r="C6" s="247"/>
      <x:c r="D6" s="247"/>
      <x:c r="E6" s="247"/>
      <x:c r="F6" s="247"/>
      <x:c r="G6" s="247"/>
      <x:c r="H6" s="247"/>
      <x:c r="I6" s="247"/>
      <x:c r="J6" s="247"/>
    </x:row>
    <x:row r="7">
      <x:c r="A7" s="56" t="str">
        <x:v>名称</x:v>
      </x:c>
      <x:c r="B7" s="56" t="str">
        <x:v>类别</x:v>
      </x:c>
      <x:c r="C7" s="56" t="str">
        <x:v>等级</x:v>
      </x:c>
      <x:c r="D7" s="56" t="str">
        <x:v>启动类型</x:v>
      </x:c>
      <x:c r="E7" s="56" t="str">
        <x:v>适用身份</x:v>
      </x:c>
      <x:c r="F7" s="56" t="str">
        <x:v>起始权限</x:v>
      </x:c>
      <x:c r="G7" s="56" t="str">
        <x:v>护甲</x:v>
      </x:c>
      <x:c r="H7" s="56" t="str">
        <x:v>从者MP修正</x:v>
      </x:c>
      <x:c r="I7" s="56" t="str">
        <x:v>效果</x:v>
      </x:c>
      <x:c r="J7" s="56" t="str">
        <x:v>补充／限制／反制</x:v>
      </x:c>
    </x:row>
    <x:row r="8" ht="45" customHeight="1">
      <x:c r="A8" s="58" t="str">
        <x:v>魔力储匣</x:v>
      </x:c>
      <x:c r="B8" s="58" t="str">
        <x:v>储能与供魔</x:v>
      </x:c>
      <x:c r="C8" s="26" t="str">
        <x:v>常规</x:v>
      </x:c>
      <x:c r="D8" s="26" t="str">
        <x:v>自律／充能</x:v>
      </x:c>
      <x:c r="E8" s="26" t="str">
        <x:v>任何角色</x:v>
      </x:c>
      <x:c r="F8" s="26" t="str">
        <x:v>可直接选择</x:v>
      </x:c>
      <x:c r="G8" s="26" t="n">
        <x:v>0</x:v>
      </x:c>
      <x:c r="H8" s="26" t="n">
        <x:v>0</x:v>
      </x:c>
      <x:c r="I8" s="58" t="str">
        <x:v>储存 2 MP；次要动作取用。</x:v>
      </x:c>
      <x:c r="J8" s="58" t="str">
        <x:v>完整休整或灵脉充满；匣体破损会泄露签名。</x:v>
      </x:c>
    </x:row>
    <x:row r="9" ht="45" customHeight="1">
      <x:c r="A9" s="58" t="str">
        <x:v>宝石电池</x:v>
      </x:c>
      <x:c r="B9" s="58" t="str">
        <x:v>储能与供魔</x:v>
      </x:c>
      <x:c r="C9" s="26" t="str">
        <x:v>精良</x:v>
      </x:c>
      <x:c r="D9" s="26" t="str">
        <x:v>自律／充能</x:v>
      </x:c>
      <x:c r="E9" s="26" t="str">
        <x:v>任何角色</x:v>
      </x:c>
      <x:c r="F9" s="26" t="str">
        <x:v>可直接选择</x:v>
      </x:c>
      <x:c r="G9" s="26" t="n">
        <x:v>0</x:v>
      </x:c>
      <x:c r="H9" s="26" t="n">
        <x:v>0</x:v>
      </x:c>
      <x:c r="I9" s="58" t="str">
        <x:v>储存 4 MP；一次最多取 2。</x:v>
      </x:c>
      <x:c r="J9" s="58" t="str">
        <x:v>用尽后宝石粉碎；被击碎时持有者受 2 伤害。</x:v>
      </x:c>
    </x:row>
    <x:row r="10" ht="45" customHeight="1">
      <x:c r="A10" s="58" t="str">
        <x:v>灵脉采样瓶</x:v>
      </x:c>
      <x:c r="B10" s="58" t="str">
        <x:v>储能与供魔</x:v>
      </x:c>
      <x:c r="C10" s="26" t="str">
        <x:v>精良</x:v>
      </x:c>
      <x:c r="D10" s="26" t="str">
        <x:v>自律／充能</x:v>
      </x:c>
      <x:c r="E10" s="26" t="str">
        <x:v>任何角色</x:v>
      </x:c>
      <x:c r="F10" s="26" t="str">
        <x:v>可直接选择</x:v>
      </x:c>
      <x:c r="G10" s="26" t="n">
        <x:v>0</x:v>
      </x:c>
      <x:c r="H10" s="26" t="n">
        <x:v>0</x:v>
      </x:c>
      <x:c r="I10" s="58" t="str">
        <x:v>在灵脉处收集 3 MP，供一次仪式使用。</x:v>
      </x:c>
      <x:c r="J10" s="58" t="str">
        <x:v>离开当前章节后失效；采样会留下可追踪痕迹。</x:v>
      </x:c>
    </x:row>
    <x:row r="11" ht="45" customHeight="1">
      <x:c r="A11" s="58" t="str">
        <x:v>供魔增幅环</x:v>
      </x:c>
      <x:c r="B11" s="58" t="str">
        <x:v>储能与供魔</x:v>
      </x:c>
      <x:c r="C11" s="26" t="str">
        <x:v>传承</x:v>
      </x:c>
      <x:c r="D11" s="26" t="str">
        <x:v>自律／充能</x:v>
      </x:c>
      <x:c r="E11" s="26" t="str">
        <x:v>任何角色</x:v>
      </x:c>
      <x:c r="F11" s="26" t="str">
        <x:v>需主持人同意</x:v>
      </x:c>
      <x:c r="G11" s="26" t="n">
        <x:v>0</x:v>
      </x:c>
      <x:c r="H11" s="26" t="n">
        <x:v>2</x:v>
      </x:c>
      <x:c r="I11" s="58" t="str">
        <x:v>契约从者最大 MP +2，供魔检定 +2。</x:v>
      </x:c>
      <x:c r="J11" s="58" t="str">
        <x:v>契约中断时佩戴者失去 2 生命；不能同时佩戴第二枚。</x:v>
      </x:c>
    </x:row>
    <x:row r="12" ht="45" customHeight="1">
      <x:c r="A12" s="58" t="str">
        <x:v>术式焦点杖</x:v>
      </x:c>
      <x:c r="B12" s="58" t="str">
        <x:v>增幅与施术焦点</x:v>
      </x:c>
      <x:c r="C12" s="26" t="str">
        <x:v>常规</x:v>
      </x:c>
      <x:c r="D12" s="26" t="str">
        <x:v>导引／增幅</x:v>
      </x:c>
      <x:c r="E12" s="26" t="str">
        <x:v>通常为魔术师</x:v>
      </x:c>
      <x:c r="F12" s="26" t="str">
        <x:v>可直接选择</x:v>
      </x:c>
      <x:c r="G12" s="26" t="n">
        <x:v>0</x:v>
      </x:c>
      <x:c r="H12" s="26" t="n">
        <x:v>0</x:v>
      </x:c>
      <x:c r="I12" s="58" t="str">
        <x:v>选择一个领域，该领域施术 +2。</x:v>
      </x:c>
      <x:c r="J12" s="58" t="str">
        <x:v>失败时礼装受损，完成一次短休修复；同名加值不叠加。</x:v>
      </x:c>
    </x:row>
    <x:row r="13" ht="45" customHeight="1">
      <x:c r="A13" s="58" t="str">
        <x:v>七节咏唱珠</x:v>
      </x:c>
      <x:c r="B13" s="58" t="str">
        <x:v>增幅与施术焦点</x:v>
      </x:c>
      <x:c r="C13" s="26" t="str">
        <x:v>精良</x:v>
      </x:c>
      <x:c r="D13" s="26" t="str">
        <x:v>导引／增幅</x:v>
      </x:c>
      <x:c r="E13" s="26" t="str">
        <x:v>通常为魔术师</x:v>
      </x:c>
      <x:c r="F13" s="26" t="str">
        <x:v>可直接选择</x:v>
      </x:c>
      <x:c r="G13" s="26" t="n">
        <x:v>0</x:v>
      </x:c>
      <x:c r="H13" s="26" t="n">
        <x:v>0</x:v>
      </x:c>
      <x:c r="I13" s="58" t="str">
        <x:v>每场一次，把二阶以下术式的动作由主要改为次要。</x:v>
      </x:c>
      <x:c r="J13" s="58" t="str">
        <x:v>必须完整发声；封术、失声或珠串断裂时不能使用。</x:v>
      </x:c>
    </x:row>
    <x:row r="14" ht="45" customHeight="1">
      <x:c r="A14" s="58" t="str">
        <x:v>回路校准针</x:v>
      </x:c>
      <x:c r="B14" s="58" t="str">
        <x:v>增幅与施术焦点</x:v>
      </x:c>
      <x:c r="C14" s="26" t="str">
        <x:v>精良</x:v>
      </x:c>
      <x:c r="D14" s="26" t="str">
        <x:v>导引／增幅</x:v>
      </x:c>
      <x:c r="E14" s="26" t="str">
        <x:v>通常为魔术师</x:v>
      </x:c>
      <x:c r="F14" s="26" t="str">
        <x:v>可直接选择</x:v>
      </x:c>
      <x:c r="G14" s="26" t="n">
        <x:v>0</x:v>
      </x:c>
      <x:c r="H14" s="26" t="n">
        <x:v>0</x:v>
      </x:c>
      <x:c r="I14" s="58" t="str">
        <x:v>超载前使用，使本次少承受 2 生命损失。</x:v>
      </x:c>
      <x:c r="J14" s="58" t="str">
        <x:v>使用后获得回路灼伤；每场一次。</x:v>
      </x:c>
    </x:row>
    <x:row r="15" ht="45" customHeight="1">
      <x:c r="A15" s="58" t="str">
        <x:v>家系刻印片</x:v>
      </x:c>
      <x:c r="B15" s="58" t="str">
        <x:v>增幅与施术焦点</x:v>
      </x:c>
      <x:c r="C15" s="26" t="str">
        <x:v>传承</x:v>
      </x:c>
      <x:c r="D15" s="26" t="str">
        <x:v>导引／增幅</x:v>
      </x:c>
      <x:c r="E15" s="26" t="str">
        <x:v>通常为魔术师</x:v>
      </x:c>
      <x:c r="F15" s="26" t="str">
        <x:v>需主持人同意</x:v>
      </x:c>
      <x:c r="G15" s="26" t="n">
        <x:v>0</x:v>
      </x:c>
      <x:c r="H15" s="26" t="n">
        <x:v>0</x:v>
      </x:c>
      <x:c r="I15" s="58" t="str">
        <x:v>获得一个固定的一阶术式，不计入起始四项。</x:v>
      </x:c>
      <x:c r="J15" s="58" t="str">
        <x:v>术式不可替换；首次失败会触发家系代价或可追踪签名。</x:v>
      </x:c>
    </x:row>
    <x:row r="16" ht="45" customHeight="1">
      <x:c r="A16" s="58" t="str">
        <x:v>防护衣</x:v>
      </x:c>
      <x:c r="B16" s="58" t="str">
        <x:v>防护与代偿</x:v>
      </x:c>
      <x:c r="C16" s="26" t="str">
        <x:v>常规</x:v>
      </x:c>
      <x:c r="D16" s="26" t="str">
        <x:v>自律／防护</x:v>
      </x:c>
      <x:c r="E16" s="26" t="str">
        <x:v>任何角色</x:v>
      </x:c>
      <x:c r="F16" s="26" t="str">
        <x:v>可直接选择</x:v>
      </x:c>
      <x:c r="G16" s="26" t="n">
        <x:v>1</x:v>
      </x:c>
      <x:c r="H16" s="26" t="n">
        <x:v>0</x:v>
      </x:c>
      <x:c r="I16" s="58" t="str">
        <x:v>提供护甲 1。</x:v>
      </x:c>
      <x:c r="J16" s="58" t="str">
        <x:v>与普通轻甲取高不叠加；被破甲后需在安全地点修复。</x:v>
      </x:c>
    </x:row>
    <x:row r="17" ht="45" customHeight="1">
      <x:c r="A17" s="58" t="str">
        <x:v>替身纸偶</x:v>
      </x:c>
      <x:c r="B17" s="58" t="str">
        <x:v>防护与代偿</x:v>
      </x:c>
      <x:c r="C17" s="26" t="str">
        <x:v>常规</x:v>
      </x:c>
      <x:c r="D17" s="26" t="str">
        <x:v>自律／防护</x:v>
      </x:c>
      <x:c r="E17" s="26" t="str">
        <x:v>任何角色</x:v>
      </x:c>
      <x:c r="F17" s="26" t="str">
        <x:v>可直接选择</x:v>
      </x:c>
      <x:c r="G17" s="26" t="n">
        <x:v>0</x:v>
      </x:c>
      <x:c r="H17" s="26" t="n">
        <x:v>0</x:v>
      </x:c>
      <x:c r="I17" s="58" t="str">
        <x:v>每场一次，受到伤害时减 3。</x:v>
      </x:c>
      <x:c r="J17" s="58" t="str">
        <x:v>使用后烧毁；不能抵消状态、媒介破坏或概念效果。</x:v>
      </x:c>
    </x:row>
    <x:row r="18" ht="45" customHeight="1">
      <x:c r="A18" s="58" t="str">
        <x:v>反魔镜</x:v>
      </x:c>
      <x:c r="B18" s="58" t="str">
        <x:v>防护与代偿</x:v>
      </x:c>
      <x:c r="C18" s="26" t="str">
        <x:v>精良</x:v>
      </x:c>
      <x:c r="D18" s="26" t="str">
        <x:v>自律／防护</x:v>
      </x:c>
      <x:c r="E18" s="26" t="str">
        <x:v>任何角色</x:v>
      </x:c>
      <x:c r="F18" s="26" t="str">
        <x:v>可直接选择</x:v>
      </x:c>
      <x:c r="G18" s="26" t="n">
        <x:v>0</x:v>
      </x:c>
      <x:c r="H18" s="26" t="n">
        <x:v>0</x:v>
      </x:c>
      <x:c r="I18" s="58" t="str">
        <x:v>反应、每场一次：把来袭术式效果降低一阶。</x:v>
      </x:c>
      <x:c r="J18" s="58" t="str">
        <x:v>对宝具只减 2 伤害；镜面破裂后失效。</x:v>
      </x:c>
    </x:row>
    <x:row r="19" ht="45" customHeight="1">
      <x:c r="A19" s="58" t="str">
        <x:v>移动工房外套</x:v>
      </x:c>
      <x:c r="B19" s="58" t="str">
        <x:v>防护与代偿</x:v>
      </x:c>
      <x:c r="C19" s="26" t="str">
        <x:v>传承</x:v>
      </x:c>
      <x:c r="D19" s="26" t="str">
        <x:v>自律／防护</x:v>
      </x:c>
      <x:c r="E19" s="26" t="str">
        <x:v>任何角色</x:v>
      </x:c>
      <x:c r="F19" s="26" t="str">
        <x:v>需主持人同意</x:v>
      </x:c>
      <x:c r="G19" s="26" t="n">
        <x:v>0</x:v>
      </x:c>
      <x:c r="H19" s="26" t="n">
        <x:v>0</x:v>
      </x:c>
      <x:c r="I19" s="58" t="str">
        <x:v>对魔术伤害护甲 2；短休多恢复 1 MP。</x:v>
      </x:c>
      <x:c r="J19" s="58" t="str">
        <x:v>显眼且沉重，潜行劣势；失去外套即失去效果。</x:v>
      </x:c>
    </x:row>
    <x:row r="20" ht="45" customHeight="1">
      <x:c r="A20" s="58" t="str">
        <x:v>神秘弹匣</x:v>
      </x:c>
      <x:c r="B20" s="58" t="str">
        <x:v>神秘武装与概念媒介</x:v>
      </x:c>
      <x:c r="C20" s="26" t="str">
        <x:v>常规</x:v>
      </x:c>
      <x:c r="D20" s="26" t="str">
        <x:v>神秘武装</x:v>
      </x:c>
      <x:c r="E20" s="26" t="str">
        <x:v>掌握对应武器者</x:v>
      </x:c>
      <x:c r="F20" s="26" t="str">
        <x:v>可直接选择</x:v>
      </x:c>
      <x:c r="G20" s="26" t="n">
        <x:v>0</x:v>
      </x:c>
      <x:c r="H20" s="26" t="n">
        <x:v>0</x:v>
      </x:c>
      <x:c r="I20" s="58" t="str">
        <x:v>三发弹药获得神秘尺度，使用射击正常攻击。</x:v>
      </x:c>
      <x:c r="J20" s="58" t="str">
        <x:v>不增加基础伤害；补充需完整休整与材料。</x:v>
      </x:c>
    </x:row>
    <x:row r="21" ht="45" customHeight="1">
      <x:c r="A21" s="58" t="str">
        <x:v>刻印短刃</x:v>
      </x:c>
      <x:c r="B21" s="58" t="str">
        <x:v>神秘武装与概念媒介</x:v>
      </x:c>
      <x:c r="C21" s="26" t="str">
        <x:v>精良</x:v>
      </x:c>
      <x:c r="D21" s="26" t="str">
        <x:v>神秘武装</x:v>
      </x:c>
      <x:c r="E21" s="26" t="str">
        <x:v>掌握对应武器者</x:v>
      </x:c>
      <x:c r="F21" s="26" t="str">
        <x:v>可直接选择</x:v>
      </x:c>
      <x:c r="G21" s="26" t="n">
        <x:v>0</x:v>
      </x:c>
      <x:c r="H21" s="26" t="n">
        <x:v>0</x:v>
      </x:c>
      <x:c r="I21" s="58" t="str">
        <x:v>基础伤害 2，可直接伤害从者。</x:v>
      </x:c>
      <x:c r="J21" s="58" t="str">
        <x:v>每场一次命中已确认概念弱点时忽略 2 护甲。</x:v>
      </x:c>
    </x:row>
    <x:row r="22" ht="45" customHeight="1">
      <x:c r="A22" s="58" t="str">
        <x:v>破术钉</x:v>
      </x:c>
      <x:c r="B22" s="58" t="str">
        <x:v>神秘武装与概念媒介</x:v>
      </x:c>
      <x:c r="C22" s="26" t="str">
        <x:v>精良</x:v>
      </x:c>
      <x:c r="D22" s="26" t="str">
        <x:v>神秘武装</x:v>
      </x:c>
      <x:c r="E22" s="26" t="str">
        <x:v>掌握对应武器者</x:v>
      </x:c>
      <x:c r="F22" s="26" t="str">
        <x:v>可直接选择</x:v>
      </x:c>
      <x:c r="G22" s="26" t="n">
        <x:v>0</x:v>
      </x:c>
      <x:c r="H22" s="26" t="n">
        <x:v>0</x:v>
      </x:c>
      <x:c r="I22" s="58" t="str">
        <x:v>命中结界、使魔或礼装时造成 4 点结构伤害。</x:v>
      </x:c>
      <x:c r="J22" s="58" t="str">
        <x:v>对生物仍仅 1 伤害；每场三枚。</x:v>
      </x:c>
    </x:row>
    <x:row r="23" ht="45" customHeight="1">
      <x:c r="A23" s="58" t="str">
        <x:v>传承武装</x:v>
      </x:c>
      <x:c r="B23" s="58" t="str">
        <x:v>神秘武装与概念媒介</x:v>
      </x:c>
      <x:c r="C23" s="26" t="str">
        <x:v>传承</x:v>
      </x:c>
      <x:c r="D23" s="26" t="str">
        <x:v>神秘武装</x:v>
      </x:c>
      <x:c r="E23" s="26" t="str">
        <x:v>掌握对应武器者</x:v>
      </x:c>
      <x:c r="F23" s="26" t="str">
        <x:v>需主持人同意</x:v>
      </x:c>
      <x:c r="G23" s="26" t="n">
        <x:v>0</x:v>
      </x:c>
      <x:c r="H23" s="26" t="n">
        <x:v>0</x:v>
      </x:c>
      <x:c r="I23" s="58" t="str">
        <x:v>基础伤害 3，具有一个窄而明确的概念触发。</x:v>
      </x:c>
      <x:c r="J23" s="58" t="str">
        <x:v>触发时检定优势；必须同时写一项禁忌，违反时武装沉默。</x:v>
      </x:c>
    </x:row>
    <x:row r="24" ht="45" customHeight="1">
      <x:c r="A24" s="58" t="str">
        <x:v>折叠式阵盘</x:v>
      </x:c>
      <x:c r="B24" s="58" t="str">
        <x:v>仪式与工房</x:v>
      </x:c>
      <x:c r="C24" s="26" t="str">
        <x:v>常规</x:v>
      </x:c>
      <x:c r="D24" s="26" t="str">
        <x:v>仪式／工房</x:v>
      </x:c>
      <x:c r="E24" s="26" t="str">
        <x:v>相关领域或助手</x:v>
      </x:c>
      <x:c r="F24" s="26" t="str">
        <x:v>可直接选择</x:v>
      </x:c>
      <x:c r="G24" s="26" t="n">
        <x:v>0</x:v>
      </x:c>
      <x:c r="H24" s="26" t="n">
        <x:v>0</x:v>
      </x:c>
      <x:c r="I24" s="58" t="str">
        <x:v>展开 10 分钟后，四阶仪式少一种准备需求。</x:v>
      </x:c>
      <x:c r="J24" s="58" t="str">
        <x:v>展开后不能移动；破坏四角之一即可中断。</x:v>
      </x:c>
    </x:row>
    <x:row r="25" ht="45" customHeight="1">
      <x:c r="A25" s="58" t="str">
        <x:v>符文压印器</x:v>
      </x:c>
      <x:c r="B25" s="58" t="str">
        <x:v>仪式与工房</x:v>
      </x:c>
      <x:c r="C25" s="26" t="str">
        <x:v>常规</x:v>
      </x:c>
      <x:c r="D25" s="26" t="str">
        <x:v>仪式／工房</x:v>
      </x:c>
      <x:c r="E25" s="26" t="str">
        <x:v>相关领域或助手</x:v>
      </x:c>
      <x:c r="F25" s="26" t="str">
        <x:v>可直接选择</x:v>
      </x:c>
      <x:c r="G25" s="26" t="n">
        <x:v>0</x:v>
      </x:c>
      <x:c r="H25" s="26" t="n">
        <x:v>0</x:v>
      </x:c>
      <x:c r="I25" s="58" t="str">
        <x:v>符文类仪式准备时间减半。</x:v>
      </x:c>
      <x:c r="J25" s="58" t="str">
        <x:v>只能保存三种预刻符；更换需完整休整。</x:v>
      </x:c>
    </x:row>
    <x:row r="26" ht="45" customHeight="1">
      <x:c r="A26" s="58" t="str">
        <x:v>无天星盘</x:v>
      </x:c>
      <x:c r="B26" s="58" t="str">
        <x:v>仪式与工房</x:v>
      </x:c>
      <x:c r="C26" s="26" t="str">
        <x:v>精良</x:v>
      </x:c>
      <x:c r="D26" s="26" t="str">
        <x:v>仪式／工房</x:v>
      </x:c>
      <x:c r="E26" s="26" t="str">
        <x:v>相关领域或助手</x:v>
      </x:c>
      <x:c r="F26" s="26" t="str">
        <x:v>可直接选择</x:v>
      </x:c>
      <x:c r="G26" s="26" t="n">
        <x:v>0</x:v>
      </x:c>
      <x:c r="H26" s="26" t="n">
        <x:v>0</x:v>
      </x:c>
      <x:c r="I26" s="58" t="str">
        <x:v>占星术在室内或无星环境不受限制。</x:v>
      </x:c>
      <x:c r="J26" s="58" t="str">
        <x:v>错误校准会让失败额外暴露施术位置。</x:v>
      </x:c>
    </x:row>
    <x:row r="27" ht="45" customHeight="1">
      <x:c r="A27" s="58" t="str">
        <x:v>家传祭坛核</x:v>
      </x:c>
      <x:c r="B27" s="58" t="str">
        <x:v>仪式与工房</x:v>
      </x:c>
      <x:c r="C27" s="26" t="str">
        <x:v>传承</x:v>
      </x:c>
      <x:c r="D27" s="26" t="str">
        <x:v>仪式／工房</x:v>
      </x:c>
      <x:c r="E27" s="26" t="str">
        <x:v>相关领域或助手</x:v>
      </x:c>
      <x:c r="F27" s="26" t="str">
        <x:v>需主持人同意</x:v>
      </x:c>
      <x:c r="G27" s="26" t="n">
        <x:v>0</x:v>
      </x:c>
      <x:c r="H27" s="26" t="n">
        <x:v>0</x:v>
      </x:c>
      <x:c r="I27" s="58" t="str">
        <x:v>固定工房内四阶仪式 MP 成本 -1。</x:v>
      </x:c>
      <x:c r="J27" s="58" t="str">
        <x:v>不可移动；失窃或破坏会造成家系级后果。</x:v>
      </x:c>
    </x:row>
    <x:row r="28" ht="45" customHeight="1">
      <x:c r="A28" s="58" t="str">
        <x:v>灵视镜片</x:v>
      </x:c>
      <x:c r="B28" s="58" t="str">
        <x:v>侦查与通信</x:v>
      </x:c>
      <x:c r="C28" s="26" t="str">
        <x:v>常规</x:v>
      </x:c>
      <x:c r="D28" s="26" t="str">
        <x:v>自律／侦查</x:v>
      </x:c>
      <x:c r="E28" s="26" t="str">
        <x:v>任何角色</x:v>
      </x:c>
      <x:c r="F28" s="26" t="str">
        <x:v>可直接选择</x:v>
      </x:c>
      <x:c r="G28" s="26" t="n">
        <x:v>0</x:v>
      </x:c>
      <x:c r="H28" s="26" t="n">
        <x:v>0</x:v>
      </x:c>
      <x:c r="I28" s="58" t="str">
        <x:v>识别魔力、结界与灵体的侦查 +2。</x:v>
      </x:c>
      <x:c r="J28" s="58" t="str">
        <x:v>连续佩戴一场后感知检定 -1，直到短休。</x:v>
      </x:c>
    </x:row>
    <x:row r="29" ht="45" customHeight="1">
      <x:c r="A29" s="58" t="str">
        <x:v>追迹指针</x:v>
      </x:c>
      <x:c r="B29" s="58" t="str">
        <x:v>侦查与通信</x:v>
      </x:c>
      <x:c r="C29" s="26" t="str">
        <x:v>常规</x:v>
      </x:c>
      <x:c r="D29" s="26" t="str">
        <x:v>自律／侦查</x:v>
      </x:c>
      <x:c r="E29" s="26" t="str">
        <x:v>任何角色</x:v>
      </x:c>
      <x:c r="F29" s="26" t="str">
        <x:v>可直接选择</x:v>
      </x:c>
      <x:c r="G29" s="26" t="n">
        <x:v>0</x:v>
      </x:c>
      <x:c r="H29" s="26" t="n">
        <x:v>0</x:v>
      </x:c>
      <x:c r="I29" s="58" t="str">
        <x:v>记录一个接触过的魔力签名，本场景指出大致方向。</x:v>
      </x:c>
      <x:c r="J29" s="58" t="str">
        <x:v>跨界、净化或更换容器会使指针失准。</x:v>
      </x:c>
    </x:row>
    <x:row r="30" ht="45" customHeight="1">
      <x:c r="A30" s="58" t="str">
        <x:v>静默帷幕</x:v>
      </x:c>
      <x:c r="B30" s="58" t="str">
        <x:v>侦查与通信</x:v>
      </x:c>
      <x:c r="C30" s="26" t="str">
        <x:v>精良</x:v>
      </x:c>
      <x:c r="D30" s="26" t="str">
        <x:v>自律／侦查</x:v>
      </x:c>
      <x:c r="E30" s="26" t="str">
        <x:v>任何角色</x:v>
      </x:c>
      <x:c r="F30" s="26" t="str">
        <x:v>可直接选择</x:v>
      </x:c>
      <x:c r="G30" s="26" t="n">
        <x:v>0</x:v>
      </x:c>
      <x:c r="H30" s="26" t="n">
        <x:v>0</x:v>
      </x:c>
      <x:c r="I30" s="58" t="str">
        <x:v>一个近距小队对普通监控与听觉潜行优势。</x:v>
      </x:c>
      <x:c r="J30" s="58" t="str">
        <x:v>攻击、明显施术或离开近距队形后结束。</x:v>
      </x:c>
    </x:row>
    <x:row r="31" ht="45" customHeight="1">
      <x:c r="A31" s="58" t="str">
        <x:v>术式记录晶体</x:v>
      </x:c>
      <x:c r="B31" s="58" t="str">
        <x:v>侦查与通信</x:v>
      </x:c>
      <x:c r="C31" s="26" t="str">
        <x:v>精良</x:v>
      </x:c>
      <x:c r="D31" s="26" t="str">
        <x:v>自律／侦查</x:v>
      </x:c>
      <x:c r="E31" s="26" t="str">
        <x:v>任何角色</x:v>
      </x:c>
      <x:c r="F31" s="26" t="str">
        <x:v>可直接选择</x:v>
      </x:c>
      <x:c r="G31" s="26" t="n">
        <x:v>0</x:v>
      </x:c>
      <x:c r="H31" s="26" t="n">
        <x:v>0</x:v>
      </x:c>
      <x:c r="I31" s="58" t="str">
        <x:v>记录一次看见的术式；之后对其一次反制获得优势。</x:v>
      </x:c>
      <x:c r="J31" s="58" t="str">
        <x:v>用后清空；无法记录宝具或 EX 能力。</x:v>
      </x:c>
    </x:row>
    <x:row r="32" ht="45" customHeight="1">
      <x:c r="A32" s="58" t="str">
        <x:v>折叠箱</x:v>
      </x:c>
      <x:c r="B32" s="58" t="str">
        <x:v>移动与收纳</x:v>
      </x:c>
      <x:c r="C32" s="26" t="str">
        <x:v>常规</x:v>
      </x:c>
      <x:c r="D32" s="26" t="str">
        <x:v>自律／工具</x:v>
      </x:c>
      <x:c r="E32" s="26" t="str">
        <x:v>任何角色</x:v>
      </x:c>
      <x:c r="F32" s="26" t="str">
        <x:v>可直接选择</x:v>
      </x:c>
      <x:c r="G32" s="26" t="n">
        <x:v>0</x:v>
      </x:c>
      <x:c r="H32" s="26" t="n">
        <x:v>0</x:v>
      </x:c>
      <x:c r="I32" s="58" t="str">
        <x:v>收纳不超过一人可搬运的器材，次要动作取放。</x:v>
      </x:c>
      <x:c r="J32" s="58" t="str">
        <x:v>活物不能进入；箱体损坏会把内容散出。</x:v>
      </x:c>
    </x:row>
    <x:row r="33" ht="45" customHeight="1">
      <x:c r="A33" s="58" t="str">
        <x:v>归途钉</x:v>
      </x:c>
      <x:c r="B33" s="58" t="str">
        <x:v>移动与收纳</x:v>
      </x:c>
      <x:c r="C33" s="26" t="str">
        <x:v>精良</x:v>
      </x:c>
      <x:c r="D33" s="26" t="str">
        <x:v>自律／工具</x:v>
      </x:c>
      <x:c r="E33" s="26" t="str">
        <x:v>任何角色</x:v>
      </x:c>
      <x:c r="F33" s="26" t="str">
        <x:v>可直接选择</x:v>
      </x:c>
      <x:c r="G33" s="26" t="n">
        <x:v>0</x:v>
      </x:c>
      <x:c r="H33" s="26" t="n">
        <x:v>0</x:v>
      </x:c>
      <x:c r="I33" s="58" t="str">
        <x:v>预先钉入安全地点；每场一次撤离检定 +2。</x:v>
      </x:c>
      <x:c r="J33" s="58" t="str">
        <x:v>只能指向同城地点；锚点被发现即可破坏。</x:v>
      </x:c>
    </x:row>
    <x:row r="34" ht="45" customHeight="1">
      <x:c r="A34" s="58" t="str">
        <x:v>影行斗篷</x:v>
      </x:c>
      <x:c r="B34" s="58" t="str">
        <x:v>移动与收纳</x:v>
      </x:c>
      <x:c r="C34" s="26" t="str">
        <x:v>精良</x:v>
      </x:c>
      <x:c r="D34" s="26" t="str">
        <x:v>自律／工具</x:v>
      </x:c>
      <x:c r="E34" s="26" t="str">
        <x:v>任何角色</x:v>
      </x:c>
      <x:c r="F34" s="26" t="str">
        <x:v>可直接选择</x:v>
      </x:c>
      <x:c r="G34" s="26" t="n">
        <x:v>0</x:v>
      </x:c>
      <x:c r="H34" s="26" t="n">
        <x:v>0</x:v>
      </x:c>
      <x:c r="I34" s="58" t="str">
        <x:v>从明处进入阴影时，可用次要动作移动一带。</x:v>
      </x:c>
      <x:c r="J34" s="58" t="str">
        <x:v>强光、无影区域与空间封锁使其失效。</x:v>
      </x:c>
    </x:row>
    <x:row r="35" ht="45" customHeight="1">
      <x:c r="A35" s="58" t="str">
        <x:v>界门钥匙</x:v>
      </x:c>
      <x:c r="B35" s="58" t="str">
        <x:v>移动与收纳</x:v>
      </x:c>
      <x:c r="C35" s="26" t="str">
        <x:v>传承</x:v>
      </x:c>
      <x:c r="D35" s="26" t="str">
        <x:v>自律／工具</x:v>
      </x:c>
      <x:c r="E35" s="26" t="str">
        <x:v>任何角色</x:v>
      </x:c>
      <x:c r="F35" s="26" t="str">
        <x:v>需主持人同意</x:v>
      </x:c>
      <x:c r="G35" s="26" t="n">
        <x:v>0</x:v>
      </x:c>
      <x:c r="H35" s="26" t="n">
        <x:v>0</x:v>
      </x:c>
      <x:c r="I35" s="58" t="str">
        <x:v>每章一次打开一个已有权限的封闭门户或结界通道。</x:v>
      </x:c>
      <x:c r="J35" s="58" t="str">
        <x:v>不能创造权限；使用会向原主人发出明显信号。</x:v>
      </x:c>
    </x:row>
    <x:row r="36" ht="45" customHeight="1">
      <x:c r="A36" s="58" t="str">
        <x:v>应急炼金剂</x:v>
      </x:c>
      <x:c r="B36" s="58" t="str">
        <x:v>消耗品与禁忌礼装</x:v>
      </x:c>
      <x:c r="C36" s="26" t="str">
        <x:v>常规</x:v>
      </x:c>
      <x:c r="D36" s="26" t="str">
        <x:v>消耗／禁忌</x:v>
      </x:c>
      <x:c r="E36" s="26" t="str">
        <x:v>按卡面</x:v>
      </x:c>
      <x:c r="F36" s="26" t="str">
        <x:v>可直接选择</x:v>
      </x:c>
      <x:c r="G36" s="26" t="n">
        <x:v>0</x:v>
      </x:c>
      <x:c r="H36" s="26" t="n">
        <x:v>0</x:v>
      </x:c>
      <x:c r="I36" s="58" t="str">
        <x:v>主要动作恢复 3 生命。</x:v>
      </x:c>
      <x:c r="J36" s="58" t="str">
        <x:v>每目标每场一次；随后耐久相关检定 -1，持续一场。</x:v>
      </x:c>
    </x:row>
    <x:row r="37" ht="45" customHeight="1">
      <x:c r="A37" s="58" t="str">
        <x:v>一次性令纹墨</x:v>
      </x:c>
      <x:c r="B37" s="58" t="str">
        <x:v>消耗品与禁忌礼装</x:v>
      </x:c>
      <x:c r="C37" s="26" t="str">
        <x:v>精良</x:v>
      </x:c>
      <x:c r="D37" s="26" t="str">
        <x:v>消耗／禁忌</x:v>
      </x:c>
      <x:c r="E37" s="26" t="str">
        <x:v>按卡面</x:v>
      </x:c>
      <x:c r="F37" s="26" t="str">
        <x:v>可直接选择</x:v>
      </x:c>
      <x:c r="G37" s="26" t="n">
        <x:v>0</x:v>
      </x:c>
      <x:c r="H37" s="26" t="n">
        <x:v>0</x:v>
      </x:c>
      <x:c r="I37" s="58" t="str">
        <x:v>为一次御主支援或供魔检定提供优势。</x:v>
      </x:c>
      <x:c r="J37" s="58" t="str">
        <x:v>不是令咒，不能强制命令；使用后留下可识别痕迹。</x:v>
      </x:c>
    </x:row>
    <x:row r="38" ht="45" customHeight="1">
      <x:c r="A38" s="58" t="str">
        <x:v>咒血蓄能器</x:v>
      </x:c>
      <x:c r="B38" s="58" t="str">
        <x:v>消耗品与禁忌礼装</x:v>
      </x:c>
      <x:c r="C38" s="26" t="str">
        <x:v>传承</x:v>
      </x:c>
      <x:c r="D38" s="26" t="str">
        <x:v>消耗／禁忌</x:v>
      </x:c>
      <x:c r="E38" s="26" t="str">
        <x:v>按卡面</x:v>
      </x:c>
      <x:c r="F38" s="26" t="str">
        <x:v>需主持人同意</x:v>
      </x:c>
      <x:c r="G38" s="26" t="n">
        <x:v>0</x:v>
      </x:c>
      <x:c r="H38" s="26" t="n">
        <x:v>0</x:v>
      </x:c>
      <x:c r="I38" s="58" t="str">
        <x:v>储存 6 MP。</x:v>
      </x:c>
      <x:c r="J38" s="58" t="str">
        <x:v>每取用 2 MP，持有者失去 1 生命；生命代价不能被减伤。</x:v>
      </x:c>
    </x:row>
    <x:row r="39" ht="45" customHeight="1">
      <x:c r="A39" s="58" t="str">
        <x:v>破碎圣杯残片</x:v>
      </x:c>
      <x:c r="B39" s="58" t="str">
        <x:v>消耗品与禁忌礼装</x:v>
      </x:c>
      <x:c r="C39" s="26" t="str">
        <x:v>禁忌</x:v>
      </x:c>
      <x:c r="D39" s="26" t="str">
        <x:v>消耗／禁忌</x:v>
      </x:c>
      <x:c r="E39" s="26" t="str">
        <x:v>按卡面</x:v>
      </x:c>
      <x:c r="F39" s="26" t="str">
        <x:v>不可默认开局</x:v>
      </x:c>
      <x:c r="G39" s="26" t="n">
        <x:v>0</x:v>
      </x:c>
      <x:c r="H39" s="26" t="n">
        <x:v>0</x:v>
      </x:c>
      <x:c r="I39" s="58" t="str">
        <x:v>提供神秘尺度，并可替代最多 8 MP 的仪式成本。</x:v>
      </x:c>
      <x:c r="J39" s="58" t="str">
        <x:v>每次使用推进污染钟；默认不能作为起始礼装。</x:v>
      </x:c>
    </x:row>
  </x:sheetData>
  <x:mergeCells>
    <x:mergeCell ref="A1:J1"/>
    <x:mergeCell ref="A2:J2"/>
    <x:mergeCell ref="B3:D3"/>
    <x:mergeCell ref="F3:G3"/>
    <x:mergeCell ref="I3:J3"/>
    <x:mergeCell ref="B4:J4"/>
    <x:mergeCell ref="B5:J5"/>
  </x:mergeCells>
  <x:dataValidations count="1">
    <x:dataValidation type="list" sqref="B3:D3">
      <x:formula1>'魔术礼装'!$A$8:$A$39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8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2" hidden="0" customWidth="1"/>
    <x:col min="12" max="12" width="42" hidden="0" customWidth="1"/>
    <x:col min="13" max="13" width="42" hidden="0" customWidth="1"/>
    <x:col min="14" max="14" width="3" hidden="0" customWidth="1"/>
    <x:col min="15" max="15" width="3" hidden="0" customWidth="1"/>
    <x:col min="16" max="16" width="22" hidden="0" customWidth="1"/>
    <x:col min="17" max="17" width="12" hidden="0" customWidth="1"/>
    <x:col min="18" max="18" width="12" hidden="0" customWidth="1"/>
    <x:col min="19" max="19" width="9" hidden="0" customWidth="1"/>
    <x:col min="20" max="20" width="42" hidden="0" customWidth="1"/>
  </x:cols>
  <x:sheetData>
    <x:row r="1" ht="34" customHeight="1">
      <x:c r="A1" s="152" t="str">
        <x:v>职阶、容器与相性</x:v>
      </x:c>
      <x:c r="B1" s="152"/>
      <x:c r="C1" s="152"/>
      <x:c r="D1" s="152"/>
      <x:c r="E1" s="152"/>
      <x:c r="F1" s="152"/>
      <x:c r="G1" s="152"/>
      <x:c r="H1" s="152"/>
      <x:c r="I1" s="152"/>
      <x:c r="J1" s="152"/>
      <x:c r="K1" s="152"/>
      <x:c r="L1" s="152"/>
      <x:c r="M1" s="152"/>
      <x:c r="N1" s="152"/>
      <x:c r="O1" s="152"/>
      <x:c r="P1" s="152"/>
      <x:c r="Q1" s="152"/>
      <x:c r="R1" s="152"/>
      <x:c r="S1" s="152"/>
      <x:c r="T1" s="152"/>
    </x:row>
    <x:row r="2" ht="22" customHeight="1">
      <x:c r="A2" s="155" t="str">
        <x:v>核心默认叙事相性；战术相性只提供敌对检定+2或抵抗DC+2，不增加伤害。</x:v>
      </x:c>
      <x:c r="B2" s="155"/>
      <x:c r="C2" s="155"/>
      <x:c r="D2" s="155"/>
      <x:c r="E2" s="155"/>
      <x:c r="F2" s="155"/>
      <x:c r="G2" s="155"/>
      <x:c r="H2" s="155"/>
      <x:c r="I2" s="155"/>
      <x:c r="J2" s="155"/>
      <x:c r="K2" s="155"/>
      <x:c r="L2" s="155"/>
      <x:c r="M2" s="155"/>
      <x:c r="N2" s="155"/>
      <x:c r="O2" s="155"/>
      <x:c r="P2" s="155"/>
      <x:c r="Q2" s="155"/>
      <x:c r="R2" s="155"/>
      <x:c r="S2" s="155"/>
      <x:c r="T2" s="155"/>
    </x:row>
    <x:row r="3">
      <x:c r="A3" s="88" t="str">
        <x:v>职阶预览</x:v>
      </x:c>
      <x:c r="B3" s="127" t="str">
        <x:v>Assassin</x:v>
      </x:c>
      <x:c r="C3" s="127"/>
      <x:c r="D3" s="88" t="str">
        <x:v>推荐参数</x:v>
      </x:c>
      <x:c r="E3" s="139" t="str">
        <x:f>IFERROR(VLOOKUP($B$3,$A$9:$M$15,12,FALSE),"")</x:f>
        <x:v>灵巧 A、感知 B、学识 B、意志 C、魔力 C、体魄 D、耐久 D</x:v>
      </x:c>
      <x:c r="F3" s="139"/>
      <x:c r="G3" s="139"/>
      <x:c r="H3" s="139"/>
      <x:c r="I3" s="139"/>
      <x:c r="J3" s="139"/>
      <x:c r="K3" s="88" t="str">
        <x:v>硬修正示例</x:v>
      </x:c>
      <x:c r="L3" s="139" t="str">
        <x:f>IFERROR(VLOOKUP($B$3,$A$9:$M$15,10,FALSE)&amp;"+1／"&amp;VLOOKUP($B$3,$A$9:$M$15,11,FALSE)&amp;"-1","")</x:f>
        <x:v>灵巧+1／耐久-1</x:v>
      </x:c>
      <x:c r="M3" s="139"/>
      <x:c r="N3" s="247"/>
      <x:c r="O3" s="247"/>
      <x:c r="P3" s="247"/>
      <x:c r="Q3" s="247"/>
      <x:c r="R3" s="247"/>
      <x:c r="S3" s="247"/>
      <x:c r="T3" s="247"/>
    </x:row>
    <x:row r="4">
      <x:c r="A4" s="88" t="str">
        <x:v>职阶特性</x:v>
      </x:c>
      <x:c r="B4" s="139" t="str">
        <x:f>IFERROR(VLOOKUP($B$3,$A$9:$M$15,2,FALSE),"")</x:f>
        <x:v>气息遮断：场景开始可处于隐匿；第一次暴露前潜行检定优势。</x:v>
      </x:c>
      <x:c r="C4" s="139"/>
      <x:c r="D4" s="139"/>
      <x:c r="E4" s="139"/>
      <x:c r="F4" s="139"/>
      <x:c r="G4" s="139"/>
      <x:c r="H4" s="139"/>
      <x:c r="I4" s="139"/>
      <x:c r="J4" s="139"/>
      <x:c r="K4" s="139"/>
      <x:c r="L4" s="139"/>
      <x:c r="M4" s="139"/>
      <x:c r="N4" s="247"/>
      <x:c r="O4" s="247"/>
      <x:c r="P4" s="247"/>
      <x:c r="Q4" s="247"/>
      <x:c r="R4" s="247"/>
      <x:c r="S4" s="247"/>
      <x:c r="T4" s="247"/>
    </x:row>
    <x:row r="5">
      <x:c r="A5" s="247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247"/>
      <x:c r="O5" s="247"/>
      <x:c r="P5" s="247"/>
      <x:c r="Q5" s="247"/>
      <x:c r="R5" s="247"/>
      <x:c r="S5" s="247"/>
      <x:c r="T5" s="247"/>
    </x:row>
    <x:row r="6">
      <x:c r="A6" s="247"/>
      <x:c r="B6" s="247"/>
      <x:c r="C6" s="247"/>
      <x:c r="D6" s="247"/>
      <x:c r="E6" s="247"/>
      <x:c r="F6" s="247"/>
      <x:c r="G6" s="247"/>
      <x:c r="H6" s="247"/>
      <x:c r="I6" s="247"/>
      <x:c r="J6" s="247"/>
      <x:c r="K6" s="247"/>
      <x:c r="L6" s="247"/>
      <x:c r="M6" s="247"/>
      <x:c r="N6" s="247"/>
      <x:c r="O6" s="247"/>
      <x:c r="P6" s="247"/>
      <x:c r="Q6" s="247"/>
      <x:c r="R6" s="247"/>
      <x:c r="S6" s="247"/>
      <x:c r="T6" s="247"/>
    </x:row>
    <x:row r="7" ht="24" customHeight="1">
      <x:c r="A7" s="247"/>
      <x:c r="B7" s="247"/>
      <x:c r="C7" s="247"/>
      <x:c r="D7" s="247"/>
      <x:c r="E7" s="247"/>
      <x:c r="F7" s="247"/>
      <x:c r="G7" s="247"/>
      <x:c r="H7" s="247"/>
      <x:c r="I7" s="247"/>
      <x:c r="J7" s="247"/>
      <x:c r="K7" s="247"/>
      <x:c r="L7" s="247"/>
      <x:c r="M7" s="247"/>
      <x:c r="N7" s="247"/>
      <x:c r="O7" s="247"/>
      <x:c r="P7" s="82" t="str">
        <x:v>战术相性查表</x:v>
      </x:c>
      <x:c r="Q7" s="83"/>
      <x:c r="R7" s="83"/>
      <x:c r="S7" s="83"/>
      <x:c r="T7" s="84"/>
    </x:row>
    <x:row r="8">
      <x:c r="A8" s="88" t="str">
        <x:v>职阶</x:v>
      </x:c>
      <x:c r="B8" s="88" t="str">
        <x:v>职阶特性</x:v>
      </x:c>
      <x:c r="C8" s="88" t="str">
        <x:v>体魄</x:v>
      </x:c>
      <x:c r="D8" s="88" t="str">
        <x:v>耐久</x:v>
      </x:c>
      <x:c r="E8" s="88" t="str">
        <x:v>灵巧</x:v>
      </x:c>
      <x:c r="F8" s="88" t="str">
        <x:v>感知</x:v>
      </x:c>
      <x:c r="G8" s="88" t="str">
        <x:v>学识</x:v>
      </x:c>
      <x:c r="H8" s="88" t="str">
        <x:v>意志</x:v>
      </x:c>
      <x:c r="I8" s="88" t="str">
        <x:v>魔力</x:v>
      </x:c>
      <x:c r="J8" s="88" t="str">
        <x:v>+1属性</x:v>
      </x:c>
      <x:c r="K8" s="88" t="str">
        <x:v>-1属性</x:v>
      </x:c>
      <x:c r="L8" s="88" t="str">
        <x:v>推荐参数</x:v>
      </x:c>
      <x:c r="M8" s="88" t="str">
        <x:v>解释／调整建议</x:v>
      </x:c>
      <x:c r="N8" s="247"/>
      <x:c r="O8" s="247"/>
      <x:c r="P8" s="88" t="str">
        <x:v>查找键</x:v>
      </x:c>
      <x:c r="Q8" s="88" t="str">
        <x:v>攻击方</x:v>
      </x:c>
      <x:c r="R8" s="88" t="str">
        <x:v>目标</x:v>
      </x:c>
      <x:c r="S8" s="88" t="str">
        <x:v>加值</x:v>
      </x:c>
      <x:c r="T8" s="88" t="str">
        <x:v>说明</x:v>
      </x:c>
    </x:row>
    <x:row r="9" ht="58" customHeight="1">
      <x:c r="A9" s="58" t="str">
        <x:v>Saber</x:v>
      </x:c>
      <x:c r="B9" s="58" t="str">
        <x:v>对魔力：对术式的防御+2；每场一次把魔术伤害再减2。</x:v>
      </x:c>
      <x:c r="C9" s="26" t="n">
        <x:v>4</x:v>
      </x:c>
      <x:c r="D9" s="26" t="n">
        <x:v>3</x:v>
      </x:c>
      <x:c r="E9" s="26" t="n">
        <x:v>2</x:v>
      </x:c>
      <x:c r="F9" s="26" t="n">
        <x:v>2</x:v>
      </x:c>
      <x:c r="G9" s="26" t="n">
        <x:v>1</x:v>
      </x:c>
      <x:c r="H9" s="26" t="n">
        <x:v>3</x:v>
      </x:c>
      <x:c r="I9" s="26" t="n">
        <x:v>1</x:v>
      </x:c>
      <x:c r="J9" s="26" t="str">
        <x:v>体魄</x:v>
      </x:c>
      <x:c r="K9" s="26" t="str">
        <x:v>魔力</x:v>
      </x:c>
      <x:c r="L9" s="58" t="str">
        <x:v>体魄 A、耐久 B、意志 B、灵巧 C、感知 C、学识 D、魔力 D</x:v>
      </x:c>
      <x:c r="M9" s="58" t="str">
        <x:v>正面作战与持续对抗；若传说更偏技巧，可交换体魄与灵巧。</x:v>
      </x:c>
      <x:c r="N9" s="247"/>
      <x:c r="O9" s="247"/>
      <x:c r="P9" s="58" t="str">
        <x:v>Saber→Lancer</x:v>
      </x:c>
      <x:c r="Q9" s="26" t="str">
        <x:v>Saber</x:v>
      </x:c>
      <x:c r="R9" s="26" t="str">
        <x:v>Lancer</x:v>
      </x:c>
      <x:c r="S9" s="26" t="n">
        <x:v>2</x:v>
      </x:c>
      <x:c r="T9" s="58" t="str">
        <x:v>战术相性：敌对检定+2或抵抗DC+2；不增加伤害。</x:v>
      </x:c>
    </x:row>
    <x:row r="10" ht="58" customHeight="1">
      <x:c r="A10" s="58" t="str">
        <x:v>Archer</x:v>
      </x:c>
      <x:c r="B10" s="58" t="str">
        <x:v>单独行动：契约中断时每场只失去1 MP；远距射击不受距离惩罚。</x:v>
      </x:c>
      <x:c r="C10" s="26" t="n">
        <x:v>2</x:v>
      </x:c>
      <x:c r="D10" s="26" t="n">
        <x:v>1</x:v>
      </x:c>
      <x:c r="E10" s="26" t="n">
        <x:v>4</x:v>
      </x:c>
      <x:c r="F10" s="26" t="n">
        <x:v>3</x:v>
      </x:c>
      <x:c r="G10" s="26" t="n">
        <x:v>3</x:v>
      </x:c>
      <x:c r="H10" s="26" t="n">
        <x:v>2</x:v>
      </x:c>
      <x:c r="I10" s="26" t="n">
        <x:v>1</x:v>
      </x:c>
      <x:c r="J10" s="26" t="str">
        <x:v>灵巧</x:v>
      </x:c>
      <x:c r="K10" s="26" t="str">
        <x:v>耐久</x:v>
      </x:c>
      <x:c r="L10" s="58" t="str">
        <x:v>灵巧 A、感知 B、学识 B、体魄 C、意志 C、耐久 D、魔力 D</x:v>
      </x:c>
      <x:c r="M10" s="58" t="str">
        <x:v>远距、观察与准备；近战型 Archer 可交换体魄与学识。</x:v>
      </x:c>
      <x:c r="N10" s="247"/>
      <x:c r="O10" s="247"/>
      <x:c r="P10" s="58" t="str">
        <x:v>Lancer→Archer</x:v>
      </x:c>
      <x:c r="Q10" s="26" t="str">
        <x:v>Lancer</x:v>
      </x:c>
      <x:c r="R10" s="26" t="str">
        <x:v>Archer</x:v>
      </x:c>
      <x:c r="S10" s="26" t="n">
        <x:v>2</x:v>
      </x:c>
      <x:c r="T10" s="58" t="str">
        <x:v>战术相性：敌对检定+2或抵抗DC+2；不增加伤害。</x:v>
      </x:c>
    </x:row>
    <x:row r="11" ht="58" customHeight="1">
      <x:c r="A11" s="58" t="str">
        <x:v>Lancer</x:v>
      </x:c>
      <x:c r="B11" s="58" t="str">
        <x:v>高速突进：每轮一次，在近战攻击前免费移动1个距离带。</x:v>
      </x:c>
      <x:c r="C11" s="26" t="n">
        <x:v>3</x:v>
      </x:c>
      <x:c r="D11" s="26" t="n">
        <x:v>3</x:v>
      </x:c>
      <x:c r="E11" s="26" t="n">
        <x:v>4</x:v>
      </x:c>
      <x:c r="F11" s="26" t="n">
        <x:v>2</x:v>
      </x:c>
      <x:c r="G11" s="26" t="n">
        <x:v>1</x:v>
      </x:c>
      <x:c r="H11" s="26" t="n">
        <x:v>2</x:v>
      </x:c>
      <x:c r="I11" s="26" t="n">
        <x:v>1</x:v>
      </x:c>
      <x:c r="J11" s="26" t="str">
        <x:v>灵巧</x:v>
      </x:c>
      <x:c r="K11" s="26" t="str">
        <x:v>学识</x:v>
      </x:c>
      <x:c r="L11" s="58" t="str">
        <x:v>灵巧 A、体魄 B、耐久 B、感知 C、意志 C、学识 D、魔力 D</x:v>
      </x:c>
      <x:c r="M11" s="58" t="str">
        <x:v>速度、突入与续战；推荐把最高值放在灵巧。</x:v>
      </x:c>
      <x:c r="N11" s="247"/>
      <x:c r="O11" s="247"/>
      <x:c r="P11" s="58" t="str">
        <x:v>Archer→Saber</x:v>
      </x:c>
      <x:c r="Q11" s="26" t="str">
        <x:v>Archer</x:v>
      </x:c>
      <x:c r="R11" s="26" t="str">
        <x:v>Saber</x:v>
      </x:c>
      <x:c r="S11" s="26" t="n">
        <x:v>2</x:v>
      </x:c>
      <x:c r="T11" s="58" t="str">
        <x:v>战术相性：敌对检定+2或抵抗DC+2；不增加伤害。</x:v>
      </x:c>
    </x:row>
    <x:row r="12" ht="58" customHeight="1">
      <x:c r="A12" s="58" t="str">
        <x:v>Rider</x:v>
      </x:c>
      <x:c r="B12" s="58" t="str">
        <x:v>骑乘／领域移动：载具或坐骑移动时可带一名愿意同行者；驾驶检定优势。</x:v>
      </x:c>
      <x:c r="C12" s="26" t="n">
        <x:v>2</x:v>
      </x:c>
      <x:c r="D12" s="26" t="n">
        <x:v>2</x:v>
      </x:c>
      <x:c r="E12" s="26" t="n">
        <x:v>4</x:v>
      </x:c>
      <x:c r="F12" s="26" t="n">
        <x:v>3</x:v>
      </x:c>
      <x:c r="G12" s="26" t="n">
        <x:v>1</x:v>
      </x:c>
      <x:c r="H12" s="26" t="n">
        <x:v>3</x:v>
      </x:c>
      <x:c r="I12" s="26" t="n">
        <x:v>1</x:v>
      </x:c>
      <x:c r="J12" s="26" t="str">
        <x:v>灵巧</x:v>
      </x:c>
      <x:c r="K12" s="26" t="str">
        <x:v>学识</x:v>
      </x:c>
      <x:c r="L12" s="58" t="str">
        <x:v>灵巧 A、感知 B、意志 B、体魄 C、耐久 C、学识 D、魔力 D</x:v>
      </x:c>
      <x:c r="M12" s="58" t="str">
        <x:v>机动、驾驭与战场转移；坐骑型可交换体魄与感知。</x:v>
      </x:c>
      <x:c r="N12" s="247"/>
      <x:c r="O12" s="247"/>
      <x:c r="P12" s="58" t="str">
        <x:v>Rider→Caster</x:v>
      </x:c>
      <x:c r="Q12" s="26" t="str">
        <x:v>Rider</x:v>
      </x:c>
      <x:c r="R12" s="26" t="str">
        <x:v>Caster</x:v>
      </x:c>
      <x:c r="S12" s="26" t="n">
        <x:v>2</x:v>
      </x:c>
      <x:c r="T12" s="58" t="str">
        <x:v>战术相性：敌对检定+2或抵抗DC+2；不增加伤害。</x:v>
      </x:c>
    </x:row>
    <x:row r="13" ht="58" customHeight="1">
      <x:c r="A13" s="58" t="str">
        <x:v>Caster</x:v>
      </x:c>
      <x:c r="B13" s="58" t="str">
        <x:v>阵地作成：10分钟建立工房；其中施术+2，短休额外恢复2 MP。</x:v>
      </x:c>
      <x:c r="C13" s="26" t="n">
        <x:v>1</x:v>
      </x:c>
      <x:c r="D13" s="26" t="n">
        <x:v>1</x:v>
      </x:c>
      <x:c r="E13" s="26" t="n">
        <x:v>2</x:v>
      </x:c>
      <x:c r="F13" s="26" t="n">
        <x:v>2</x:v>
      </x:c>
      <x:c r="G13" s="26" t="n">
        <x:v>3</x:v>
      </x:c>
      <x:c r="H13" s="26" t="n">
        <x:v>3</x:v>
      </x:c>
      <x:c r="I13" s="26" t="n">
        <x:v>4</x:v>
      </x:c>
      <x:c r="J13" s="26" t="str">
        <x:v>魔力</x:v>
      </x:c>
      <x:c r="K13" s="26" t="str">
        <x:v>体魄</x:v>
      </x:c>
      <x:c r="L13" s="58" t="str">
        <x:v>魔力 A、学识 B、意志 B、感知 C、灵巧 C、体魄 D、耐久 D</x:v>
      </x:c>
      <x:c r="M13" s="58" t="str">
        <x:v>术式、阵地与资源；低体魄、低耐久是典型而非强制。</x:v>
      </x:c>
      <x:c r="N13" s="247"/>
      <x:c r="O13" s="247"/>
      <x:c r="P13" s="58" t="str">
        <x:v>Caster→Assassin</x:v>
      </x:c>
      <x:c r="Q13" s="26" t="str">
        <x:v>Caster</x:v>
      </x:c>
      <x:c r="R13" s="26" t="str">
        <x:v>Assassin</x:v>
      </x:c>
      <x:c r="S13" s="26" t="n">
        <x:v>2</x:v>
      </x:c>
      <x:c r="T13" s="58" t="str">
        <x:v>战术相性：敌对检定+2或抵抗DC+2；不增加伤害。</x:v>
      </x:c>
    </x:row>
    <x:row r="14" ht="58" customHeight="1">
      <x:c r="A14" s="58" t="str">
        <x:v>Assassin</x:v>
      </x:c>
      <x:c r="B14" s="58" t="str">
        <x:v>气息遮断：场景开始可处于隐匿；第一次暴露前潜行检定优势。</x:v>
      </x:c>
      <x:c r="C14" s="26" t="n">
        <x:v>1</x:v>
      </x:c>
      <x:c r="D14" s="26" t="n">
        <x:v>1</x:v>
      </x:c>
      <x:c r="E14" s="26" t="n">
        <x:v>4</x:v>
      </x:c>
      <x:c r="F14" s="26" t="n">
        <x:v>3</x:v>
      </x:c>
      <x:c r="G14" s="26" t="n">
        <x:v>3</x:v>
      </x:c>
      <x:c r="H14" s="26" t="n">
        <x:v>2</x:v>
      </x:c>
      <x:c r="I14" s="26" t="n">
        <x:v>2</x:v>
      </x:c>
      <x:c r="J14" s="26" t="str">
        <x:v>灵巧</x:v>
      </x:c>
      <x:c r="K14" s="26" t="str">
        <x:v>耐久</x:v>
      </x:c>
      <x:c r="L14" s="58" t="str">
        <x:v>灵巧 A、感知 B、学识 B、意志 C、魔力 C、体魄 D、耐久 D</x:v>
      </x:c>
      <x:c r="M14" s="58" t="str">
        <x:v>隐匿、刺杀与情报；这就是“敏捷 A、正面承伤较低”的典型开局。</x:v>
      </x:c>
      <x:c r="N14" s="247"/>
      <x:c r="O14" s="247"/>
      <x:c r="P14" s="58" t="str">
        <x:v>Assassin→Rider</x:v>
      </x:c>
      <x:c r="Q14" s="26" t="str">
        <x:v>Assassin</x:v>
      </x:c>
      <x:c r="R14" s="26" t="str">
        <x:v>Rider</x:v>
      </x:c>
      <x:c r="S14" s="26" t="n">
        <x:v>2</x:v>
      </x:c>
      <x:c r="T14" s="58" t="str">
        <x:v>战术相性：敌对检定+2或抵抗DC+2；不增加伤害。</x:v>
      </x:c>
    </x:row>
    <x:row r="15" ht="58" customHeight="1">
      <x:c r="A15" s="58" t="str">
        <x:v>Berserker</x:v>
      </x:c>
      <x:c r="B15" s="58" t="str">
        <x:v>狂化：普通与重型攻击+2伤害；复杂学识与交涉-2，除非消耗1决意。</x:v>
      </x:c>
      <x:c r="C15" s="26" t="n">
        <x:v>4</x:v>
      </x:c>
      <x:c r="D15" s="26" t="n">
        <x:v>3</x:v>
      </x:c>
      <x:c r="E15" s="26" t="n">
        <x:v>3</x:v>
      </x:c>
      <x:c r="F15" s="26" t="n">
        <x:v>2</x:v>
      </x:c>
      <x:c r="G15" s="26" t="n">
        <x:v>1</x:v>
      </x:c>
      <x:c r="H15" s="26" t="n">
        <x:v>2</x:v>
      </x:c>
      <x:c r="I15" s="26" t="n">
        <x:v>1</x:v>
      </x:c>
      <x:c r="J15" s="26" t="str">
        <x:v>体魄</x:v>
      </x:c>
      <x:c r="K15" s="26" t="str">
        <x:v>学识</x:v>
      </x:c>
      <x:c r="L15" s="58" t="str">
        <x:v>体魄 A、耐久 B、灵巧 B、意志 C、感知 C、学识 D、魔力 D</x:v>
      </x:c>
      <x:c r="M15" s="58" t="str">
        <x:v>爆发与承伤；狂化不等于角色没有判断或人格。</x:v>
      </x:c>
      <x:c r="N15" s="247"/>
      <x:c r="O15" s="247"/>
      <x:c r="P15" s="58" t="str">
        <x:v>Berserker→Saber</x:v>
      </x:c>
      <x:c r="Q15" s="26" t="str">
        <x:v>Berserker</x:v>
      </x:c>
      <x:c r="R15" s="26" t="str">
        <x:v>Saber</x:v>
      </x:c>
      <x:c r="S15" s="26" t="n">
        <x:v>2</x:v>
      </x:c>
      <x:c r="T15" s="58" t="str">
        <x:v>Berserker攻击六职阶时+2。</x:v>
      </x:c>
    </x:row>
    <x:row r="16">
      <x:c r="A16" s="247"/>
      <x:c r="B16" s="247"/>
      <x:c r="C16" s="247"/>
      <x:c r="D16" s="247"/>
      <x:c r="E16" s="247"/>
      <x:c r="F16" s="247"/>
      <x:c r="G16" s="247"/>
      <x:c r="H16" s="247"/>
      <x:c r="I16" s="247"/>
      <x:c r="J16" s="247"/>
      <x:c r="K16" s="247"/>
      <x:c r="L16" s="247"/>
      <x:c r="M16" s="247"/>
      <x:c r="N16" s="247"/>
      <x:c r="O16" s="247"/>
      <x:c r="P16" s="58" t="str">
        <x:v>Saber→Berserker</x:v>
      </x:c>
      <x:c r="Q16" s="26" t="str">
        <x:v>Saber</x:v>
      </x:c>
      <x:c r="R16" s="26" t="str">
        <x:v>Berserker</x:v>
      </x:c>
      <x:c r="S16" s="26" t="n">
        <x:v>2</x:v>
      </x:c>
      <x:c r="T16" s="58" t="str">
        <x:v>六职阶攻击Berserker时+2。</x:v>
      </x:c>
    </x:row>
    <x:row r="17">
      <x:c r="A17" s="247"/>
      <x:c r="B17" s="247"/>
      <x:c r="C17" s="247"/>
      <x:c r="D17" s="247"/>
      <x:c r="E17" s="247"/>
      <x:c r="F17" s="247"/>
      <x:c r="G17" s="247"/>
      <x:c r="H17" s="247"/>
      <x:c r="I17" s="247"/>
      <x:c r="J17" s="247"/>
      <x:c r="K17" s="247"/>
      <x:c r="L17" s="247"/>
      <x:c r="M17" s="247"/>
      <x:c r="N17" s="247"/>
      <x:c r="O17" s="247"/>
      <x:c r="P17" s="58" t="str">
        <x:v>Berserker→Archer</x:v>
      </x:c>
      <x:c r="Q17" s="26" t="str">
        <x:v>Berserker</x:v>
      </x:c>
      <x:c r="R17" s="26" t="str">
        <x:v>Archer</x:v>
      </x:c>
      <x:c r="S17" s="26" t="n">
        <x:v>2</x:v>
      </x:c>
      <x:c r="T17" s="58" t="str">
        <x:v>Berserker攻击六职阶时+2。</x:v>
      </x:c>
    </x:row>
    <x:row r="18">
      <x:c r="A18" s="247"/>
      <x:c r="B18" s="247"/>
      <x:c r="C18" s="247"/>
      <x:c r="D18" s="247"/>
      <x:c r="E18" s="247"/>
      <x:c r="F18" s="247"/>
      <x:c r="G18" s="247"/>
      <x:c r="H18" s="247"/>
      <x:c r="I18" s="247"/>
      <x:c r="J18" s="247"/>
      <x:c r="K18" s="247"/>
      <x:c r="L18" s="247"/>
      <x:c r="M18" s="247"/>
      <x:c r="N18" s="247"/>
      <x:c r="O18" s="247"/>
      <x:c r="P18" s="58" t="str">
        <x:v>Archer→Berserker</x:v>
      </x:c>
      <x:c r="Q18" s="26" t="str">
        <x:v>Archer</x:v>
      </x:c>
      <x:c r="R18" s="26" t="str">
        <x:v>Berserker</x:v>
      </x:c>
      <x:c r="S18" s="26" t="n">
        <x:v>2</x:v>
      </x:c>
      <x:c r="T18" s="58" t="str">
        <x:v>六职阶攻击Berserker时+2。</x:v>
      </x:c>
    </x:row>
    <x:row r="19">
      <x:c r="A19" s="247"/>
      <x:c r="B19" s="247"/>
      <x:c r="C19" s="247"/>
      <x:c r="D19" s="247"/>
      <x:c r="E19" s="247"/>
      <x:c r="F19" s="247"/>
      <x:c r="G19" s="247"/>
      <x:c r="H19" s="247"/>
      <x:c r="I19" s="247"/>
      <x:c r="J19" s="247"/>
      <x:c r="K19" s="247"/>
      <x:c r="L19" s="247"/>
      <x:c r="M19" s="247"/>
      <x:c r="N19" s="247"/>
      <x:c r="O19" s="247"/>
      <x:c r="P19" s="58" t="str">
        <x:v>Berserker→Lancer</x:v>
      </x:c>
      <x:c r="Q19" s="26" t="str">
        <x:v>Berserker</x:v>
      </x:c>
      <x:c r="R19" s="26" t="str">
        <x:v>Lancer</x:v>
      </x:c>
      <x:c r="S19" s="26" t="n">
        <x:v>2</x:v>
      </x:c>
      <x:c r="T19" s="58" t="str">
        <x:v>Berserker攻击六职阶时+2。</x:v>
      </x:c>
    </x:row>
    <x:row r="20">
      <x:c r="A20" s="247"/>
      <x:c r="B20" s="247"/>
      <x:c r="C20" s="247"/>
      <x:c r="D20" s="247"/>
      <x:c r="E20" s="247"/>
      <x:c r="F20" s="247"/>
      <x:c r="G20" s="247"/>
      <x:c r="H20" s="247"/>
      <x:c r="I20" s="247"/>
      <x:c r="J20" s="247"/>
      <x:c r="K20" s="247"/>
      <x:c r="L20" s="247"/>
      <x:c r="M20" s="247"/>
      <x:c r="N20" s="247"/>
      <x:c r="O20" s="247"/>
      <x:c r="P20" s="58" t="str">
        <x:v>Lancer→Berserker</x:v>
      </x:c>
      <x:c r="Q20" s="26" t="str">
        <x:v>Lancer</x:v>
      </x:c>
      <x:c r="R20" s="26" t="str">
        <x:v>Berserker</x:v>
      </x:c>
      <x:c r="S20" s="26" t="n">
        <x:v>2</x:v>
      </x:c>
      <x:c r="T20" s="58" t="str">
        <x:v>六职阶攻击Berserker时+2。</x:v>
      </x:c>
    </x:row>
    <x:row r="21">
      <x:c r="A21" s="247"/>
      <x:c r="B21" s="247"/>
      <x:c r="C21" s="247"/>
      <x:c r="D21" s="247"/>
      <x:c r="E21" s="247"/>
      <x:c r="F21" s="247"/>
      <x:c r="G21" s="247"/>
      <x:c r="H21" s="247"/>
      <x:c r="I21" s="247"/>
      <x:c r="J21" s="247"/>
      <x:c r="K21" s="247"/>
      <x:c r="L21" s="247"/>
      <x:c r="M21" s="247"/>
      <x:c r="N21" s="247"/>
      <x:c r="O21" s="247"/>
      <x:c r="P21" s="58" t="str">
        <x:v>Berserker→Rider</x:v>
      </x:c>
      <x:c r="Q21" s="26" t="str">
        <x:v>Berserker</x:v>
      </x:c>
      <x:c r="R21" s="26" t="str">
        <x:v>Rider</x:v>
      </x:c>
      <x:c r="S21" s="26" t="n">
        <x:v>2</x:v>
      </x:c>
      <x:c r="T21" s="58" t="str">
        <x:v>Berserker攻击六职阶时+2。</x:v>
      </x:c>
    </x:row>
    <x:row r="22">
      <x:c r="A22" s="247"/>
      <x:c r="B22" s="247"/>
      <x:c r="C22" s="247"/>
      <x:c r="D22" s="247"/>
      <x:c r="E22" s="247"/>
      <x:c r="F22" s="247"/>
      <x:c r="G22" s="247"/>
      <x:c r="H22" s="247"/>
      <x:c r="I22" s="247"/>
      <x:c r="J22" s="247"/>
      <x:c r="K22" s="247"/>
      <x:c r="L22" s="247"/>
      <x:c r="M22" s="247"/>
      <x:c r="N22" s="247"/>
      <x:c r="O22" s="247"/>
      <x:c r="P22" s="58" t="str">
        <x:v>Rider→Berserker</x:v>
      </x:c>
      <x:c r="Q22" s="26" t="str">
        <x:v>Rider</x:v>
      </x:c>
      <x:c r="R22" s="26" t="str">
        <x:v>Berserker</x:v>
      </x:c>
      <x:c r="S22" s="26" t="n">
        <x:v>2</x:v>
      </x:c>
      <x:c r="T22" s="58" t="str">
        <x:v>六职阶攻击Berserker时+2。</x:v>
      </x:c>
    </x:row>
    <x:row r="23">
      <x:c r="A23" s="247"/>
      <x:c r="B23" s="247"/>
      <x:c r="C23" s="247"/>
      <x:c r="D23" s="247"/>
      <x:c r="E23" s="247"/>
      <x:c r="F23" s="247"/>
      <x:c r="G23" s="247"/>
      <x:c r="H23" s="247"/>
      <x:c r="I23" s="247"/>
      <x:c r="J23" s="247"/>
      <x:c r="K23" s="247"/>
      <x:c r="L23" s="247"/>
      <x:c r="M23" s="247"/>
      <x:c r="N23" s="247"/>
      <x:c r="O23" s="247"/>
      <x:c r="P23" s="58" t="str">
        <x:v>Berserker→Caster</x:v>
      </x:c>
      <x:c r="Q23" s="26" t="str">
        <x:v>Berserker</x:v>
      </x:c>
      <x:c r="R23" s="26" t="str">
        <x:v>Caster</x:v>
      </x:c>
      <x:c r="S23" s="26" t="n">
        <x:v>2</x:v>
      </x:c>
      <x:c r="T23" s="58" t="str">
        <x:v>Berserker攻击六职阶时+2。</x:v>
      </x:c>
    </x:row>
    <x:row r="24">
      <x:c r="A24" s="247"/>
      <x:c r="B24" s="247"/>
      <x:c r="C24" s="247"/>
      <x:c r="D24" s="247"/>
      <x:c r="E24" s="247"/>
      <x:c r="F24" s="247"/>
      <x:c r="G24" s="247"/>
      <x:c r="H24" s="247"/>
      <x:c r="I24" s="247"/>
      <x:c r="J24" s="247"/>
      <x:c r="K24" s="247"/>
      <x:c r="L24" s="247"/>
      <x:c r="M24" s="247"/>
      <x:c r="N24" s="247"/>
      <x:c r="O24" s="247"/>
      <x:c r="P24" s="58" t="str">
        <x:v>Caster→Berserker</x:v>
      </x:c>
      <x:c r="Q24" s="26" t="str">
        <x:v>Caster</x:v>
      </x:c>
      <x:c r="R24" s="26" t="str">
        <x:v>Berserker</x:v>
      </x:c>
      <x:c r="S24" s="26" t="n">
        <x:v>2</x:v>
      </x:c>
      <x:c r="T24" s="58" t="str">
        <x:v>六职阶攻击Berserker时+2。</x:v>
      </x:c>
    </x:row>
    <x:row r="25">
      <x:c r="A25" s="247"/>
      <x:c r="B25" s="247"/>
      <x:c r="C25" s="247"/>
      <x:c r="D25" s="247"/>
      <x:c r="E25" s="247"/>
      <x:c r="F25" s="247"/>
      <x:c r="G25" s="247"/>
      <x:c r="H25" s="247"/>
      <x:c r="I25" s="247"/>
      <x:c r="J25" s="247"/>
      <x:c r="K25" s="247"/>
      <x:c r="L25" s="247"/>
      <x:c r="M25" s="247"/>
      <x:c r="N25" s="247"/>
      <x:c r="O25" s="247"/>
      <x:c r="P25" s="58" t="str">
        <x:v>Berserker→Assassin</x:v>
      </x:c>
      <x:c r="Q25" s="26" t="str">
        <x:v>Berserker</x:v>
      </x:c>
      <x:c r="R25" s="26" t="str">
        <x:v>Assassin</x:v>
      </x:c>
      <x:c r="S25" s="26" t="n">
        <x:v>2</x:v>
      </x:c>
      <x:c r="T25" s="58" t="str">
        <x:v>Berserker攻击六职阶时+2。</x:v>
      </x:c>
    </x:row>
    <x:row r="26">
      <x:c r="A26" s="247"/>
      <x:c r="B26" s="247"/>
      <x:c r="C26" s="247"/>
      <x:c r="D26" s="247"/>
      <x:c r="E26" s="247"/>
      <x:c r="F26" s="247"/>
      <x:c r="G26" s="247"/>
      <x:c r="H26" s="247"/>
      <x:c r="I26" s="247"/>
      <x:c r="J26" s="247"/>
      <x:c r="K26" s="247"/>
      <x:c r="L26" s="247"/>
      <x:c r="M26" s="247"/>
      <x:c r="N26" s="247"/>
      <x:c r="O26" s="247"/>
      <x:c r="P26" s="58" t="str">
        <x:v>Assassin→Berserker</x:v>
      </x:c>
      <x:c r="Q26" s="26" t="str">
        <x:v>Assassin</x:v>
      </x:c>
      <x:c r="R26" s="26" t="str">
        <x:v>Berserker</x:v>
      </x:c>
      <x:c r="S26" s="26" t="n">
        <x:v>2</x:v>
      </x:c>
      <x:c r="T26" s="58" t="str">
        <x:v>六职阶攻击Berserker时+2。</x:v>
      </x:c>
    </x:row>
  </x:sheetData>
  <x:mergeCells>
    <x:mergeCell ref="A1:T1"/>
    <x:mergeCell ref="A2:T2"/>
    <x:mergeCell ref="B3:C3"/>
    <x:mergeCell ref="E3:J3"/>
    <x:mergeCell ref="L3:M3"/>
    <x:mergeCell ref="B4:M5"/>
    <x:mergeCell ref="P7:T7"/>
  </x:mergeCells>
  <x:dataValidations count="1">
    <x:dataValidation type="list" sqref="B3:C3">
      <x:formula1>"Saber,Archer,Lancer,Rider,Caster,Assassin,Berserker"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34" hidden="0" customWidth="1"/>
    <x:col min="4" max="4" width="11" hidden="0" customWidth="1"/>
    <x:col min="5" max="5" width="11" hidden="0" customWidth="1"/>
    <x:col min="6" max="6" width="12" hidden="0" customWidth="1"/>
    <x:col min="7" max="7" width="3" hidden="0" customWidth="1"/>
    <x:col min="8" max="8" width="16" hidden="0" customWidth="1"/>
    <x:col min="9" max="9" width="16" hidden="0" customWidth="1"/>
    <x:col min="10" max="10" width="20" hidden="0" customWidth="1"/>
    <x:col min="11" max="11" width="32" hidden="0" customWidth="1"/>
  </x:cols>
  <x:sheetData>
    <x:row r="1" ht="34" customHeight="1">
      <x:c r="A1" s="231" t="str">
        <x:v>成长、里程碑与长期记录</x:v>
      </x:c>
      <x:c r="B1" s="231"/>
      <x:c r="C1" s="231"/>
      <x:c r="D1" s="231"/>
      <x:c r="E1" s="231"/>
      <x:c r="F1" s="231"/>
      <x:c r="G1" s="231"/>
      <x:c r="H1" s="231"/>
      <x:c r="I1" s="231"/>
      <x:c r="J1" s="231"/>
      <x:c r="K1" s="231"/>
    </x:row>
    <x:row r="2" ht="22" customHeight="1">
      <x:c r="A2" s="234" t="str">
        <x:v>创建点与成长点分开；A+只记录触发条件，不作为永久阶位购买。</x:v>
      </x:c>
      <x:c r="B2" s="234"/>
      <x:c r="C2" s="234"/>
      <x:c r="D2" s="234"/>
      <x:c r="E2" s="234"/>
      <x:c r="F2" s="234"/>
      <x:c r="G2" s="234"/>
      <x:c r="H2" s="234"/>
      <x:c r="I2" s="234"/>
      <x:c r="J2" s="234"/>
      <x:c r="K2" s="234"/>
    </x:row>
    <x:row r="3" ht="24" customHeight="1">
      <x:c r="A3" s="67" t="str">
        <x:v>角色与余额</x:v>
      </x:c>
      <x:c r="B3" s="68"/>
      <x:c r="C3" s="68"/>
      <x:c r="D3" s="68"/>
      <x:c r="E3" s="68"/>
      <x:c r="F3" s="69"/>
      <x:c r="G3" s="247"/>
      <x:c r="H3" s="109" t="str">
        <x:v>成长成本速查</x:v>
      </x:c>
      <x:c r="I3" s="180"/>
      <x:c r="J3" s="180"/>
      <x:c r="K3" s="110"/>
    </x:row>
    <x:row r="4">
      <x:c r="A4" s="58" t="str">
        <x:v>角色类型</x:v>
      </x:c>
      <x:c r="B4" s="127" t="str">
        <x:v>普通人</x:v>
      </x:c>
      <x:c r="C4" s="247"/>
      <x:c r="D4" s="247"/>
      <x:c r="E4" s="247"/>
      <x:c r="F4" s="247"/>
      <x:c r="G4" s="247"/>
      <x:c r="H4" s="177" t="str">
        <x:v>提升</x:v>
      </x:c>
      <x:c r="I4" s="177" t="str">
        <x:v>成本</x:v>
      </x:c>
      <x:c r="J4" s="177" t="str">
        <x:v>限制</x:v>
      </x:c>
      <x:c r="K4" s="177" t="str">
        <x:v>说明</x:v>
      </x:c>
    </x:row>
    <x:row r="5">
      <x:c r="A5" s="58" t="str">
        <x:v>角色名称</x:v>
      </x:c>
      <x:c r="B5" s="127" t="str">
        <x:v>未命名角色</x:v>
      </x:c>
      <x:c r="C5" s="247"/>
      <x:c r="D5" s="247"/>
      <x:c r="E5" s="247"/>
      <x:c r="F5" s="247"/>
      <x:c r="G5" s="247"/>
      <x:c r="H5" s="58" t="str">
        <x:v>E→D</x:v>
      </x:c>
      <x:c r="I5" s="58" t="n">
        <x:v>2</x:v>
      </x:c>
      <x:c r="J5" s="58" t="str">
        <x:v>训练／觉醒／环境改变</x:v>
      </x:c>
      <x:c r="K5" s="58" t="str">
        <x:v>属性是广泛加值</x:v>
      </x:c>
    </x:row>
    <x:row r="6">
      <x:c r="A6" s="58" t="str">
        <x:v>当前成长点</x:v>
      </x:c>
      <x:c r="B6" s="137" t="n">
        <x:f>IFERROR(F30,0)</x:f>
        <x:v>0</x:v>
      </x:c>
      <x:c r="C6" s="247"/>
      <x:c r="D6" s="247"/>
      <x:c r="E6" s="247"/>
      <x:c r="F6" s="247"/>
      <x:c r="G6" s="247"/>
      <x:c r="H6" s="58" t="str">
        <x:v>D→C</x:v>
      </x:c>
      <x:c r="I6" s="58" t="n">
        <x:v>3</x:v>
      </x:c>
      <x:c r="J6" s="58" t="str">
        <x:v>—</x:v>
      </x:c>
      <x:c r="K6" s="58" t="str"/>
    </x:row>
    <x:row r="7">
      <x:c r="A7" s="247"/>
      <x:c r="B7" s="247"/>
      <x:c r="C7" s="247"/>
      <x:c r="D7" s="247"/>
      <x:c r="E7" s="247"/>
      <x:c r="F7" s="247"/>
      <x:c r="G7" s="247"/>
      <x:c r="H7" s="58" t="str">
        <x:v>C→B</x:v>
      </x:c>
      <x:c r="I7" s="58" t="n">
        <x:v>5</x:v>
      </x:c>
      <x:c r="J7" s="58" t="str">
        <x:v>—</x:v>
      </x:c>
      <x:c r="K7" s="58" t="str"/>
    </x:row>
    <x:row r="8" ht="24" customHeight="1">
      <x:c r="A8" s="67" t="str">
        <x:v>成长日志</x:v>
      </x:c>
      <x:c r="B8" s="68"/>
      <x:c r="C8" s="68"/>
      <x:c r="D8" s="68"/>
      <x:c r="E8" s="68"/>
      <x:c r="F8" s="69"/>
      <x:c r="G8" s="247"/>
      <x:c r="H8" s="58" t="str">
        <x:v>B→A</x:v>
      </x:c>
      <x:c r="I8" s="58" t="n">
        <x:v>8</x:v>
      </x:c>
      <x:c r="J8" s="58" t="str">
        <x:v>重大里程碑；人类需授权</x:v>
      </x:c>
      <x:c r="K8" s="58" t="str"/>
    </x:row>
    <x:row r="9">
      <x:c r="A9" s="73" t="str">
        <x:v>章节／日期</x:v>
      </x:c>
      <x:c r="B9" s="73" t="str">
        <x:v>类型</x:v>
      </x:c>
      <x:c r="C9" s="73" t="str">
        <x:v>说明</x:v>
      </x:c>
      <x:c r="D9" s="73" t="str">
        <x:v>获得</x:v>
      </x:c>
      <x:c r="E9" s="73" t="str">
        <x:v>花费</x:v>
      </x:c>
      <x:c r="F9" s="73" t="str">
        <x:v>余额</x:v>
      </x:c>
      <x:c r="G9" s="247"/>
      <x:c r="H9" s="247"/>
      <x:c r="I9" s="247"/>
      <x:c r="J9" s="247"/>
      <x:c r="K9" s="247"/>
    </x:row>
    <x:row r="10">
      <x:c r="A10" s="127" t="str"/>
      <x:c r="B10" s="127" t="str"/>
      <x:c r="C10" s="127" t="str"/>
      <x:c r="D10" s="127" t="n">
        <x:v>0</x:v>
      </x:c>
      <x:c r="E10" s="127" t="n">
        <x:v>0</x:v>
      </x:c>
      <x:c r="F10" s="137" t="n">
        <x:f>D10-E10</x:f>
        <x:v>0</x:v>
      </x:c>
      <x:c r="G10" s="247"/>
      <x:c r="H10" s="247"/>
      <x:c r="I10" s="247"/>
      <x:c r="J10" s="247"/>
      <x:c r="K10" s="247"/>
    </x:row>
    <x:row r="11">
      <x:c r="A11" s="127" t="str"/>
      <x:c r="B11" s="127" t="str"/>
      <x:c r="C11" s="127" t="str"/>
      <x:c r="D11" s="127" t="n">
        <x:v>0</x:v>
      </x:c>
      <x:c r="E11" s="127" t="n">
        <x:v>0</x:v>
      </x:c>
      <x:c r="F11" s="137" t="n">
        <x:f>F10+D11-E11</x:f>
        <x:v>0</x:v>
      </x:c>
      <x:c r="G11" s="247"/>
      <x:c r="H11" s="177" t="str">
        <x:v>技能／术式</x:v>
      </x:c>
      <x:c r="I11" s="177" t="str">
        <x:v>成本</x:v>
      </x:c>
      <x:c r="J11" s="177" t="str">
        <x:v>限制</x:v>
      </x:c>
      <x:c r="K11" s="177" t="str">
        <x:v>说明</x:v>
      </x:c>
    </x:row>
    <x:row r="12">
      <x:c r="A12" s="127" t="str"/>
      <x:c r="B12" s="127" t="str"/>
      <x:c r="C12" s="127" t="str"/>
      <x:c r="D12" s="127" t="n">
        <x:v>0</x:v>
      </x:c>
      <x:c r="E12" s="127" t="n">
        <x:v>0</x:v>
      </x:c>
      <x:c r="F12" s="137" t="n">
        <x:f>F11+D12-E12</x:f>
        <x:v>0</x:v>
      </x:c>
      <x:c r="G12" s="247"/>
      <x:c r="H12" s="58" t="str">
        <x:v>未受训→受训</x:v>
      </x:c>
      <x:c r="I12" s="58" t="n">
        <x:v>2</x:v>
      </x:c>
      <x:c r="J12" s="58" t="str">
        <x:v>合理导师、时间或实践</x:v>
      </x:c>
      <x:c r="K12" s="58" t="str"/>
    </x:row>
    <x:row r="13">
      <x:c r="A13" s="127" t="str"/>
      <x:c r="B13" s="127" t="str"/>
      <x:c r="C13" s="127" t="str"/>
      <x:c r="D13" s="127" t="n">
        <x:v>0</x:v>
      </x:c>
      <x:c r="E13" s="127" t="n">
        <x:v>0</x:v>
      </x:c>
      <x:c r="F13" s="137" t="n">
        <x:f>F12+D13-E13</x:f>
        <x:v>0</x:v>
      </x:c>
      <x:c r="G13" s="247"/>
      <x:c r="H13" s="58" t="str">
        <x:v>受训→专家</x:v>
      </x:c>
      <x:c r="I13" s="58" t="n">
        <x:v>4</x:v>
      </x:c>
      <x:c r="J13" s="58" t="str">
        <x:v>长期专精或关键成就</x:v>
      </x:c>
      <x:c r="K13" s="58" t="str"/>
    </x:row>
    <x:row r="14">
      <x:c r="A14" s="127" t="str"/>
      <x:c r="B14" s="127" t="str"/>
      <x:c r="C14" s="127" t="str"/>
      <x:c r="D14" s="127" t="n">
        <x:v>0</x:v>
      </x:c>
      <x:c r="E14" s="127" t="n">
        <x:v>0</x:v>
      </x:c>
      <x:c r="F14" s="137" t="n">
        <x:f>F13+D14-E14</x:f>
        <x:v>0</x:v>
      </x:c>
      <x:c r="G14" s="247"/>
      <x:c r="H14" s="58" t="str">
        <x:v>学习／升级术式</x:v>
      </x:c>
      <x:c r="I14" s="58" t="str">
        <x:v>目标阶位×2</x:v>
      </x:c>
      <x:c r="J14" s="58" t="str">
        <x:v>三阶以上需研究、媒介或剧情结果</x:v>
      </x:c>
      <x:c r="K14" s="58" t="str"/>
    </x:row>
    <x:row r="15">
      <x:c r="A15" s="127" t="str"/>
      <x:c r="B15" s="127" t="str"/>
      <x:c r="C15" s="127" t="str"/>
      <x:c r="D15" s="127" t="n">
        <x:v>0</x:v>
      </x:c>
      <x:c r="E15" s="127" t="n">
        <x:v>0</x:v>
      </x:c>
      <x:c r="F15" s="137" t="n">
        <x:f>F14+D15-E15</x:f>
        <x:v>0</x:v>
      </x:c>
      <x:c r="G15" s="247"/>
      <x:c r="H15" s="58" t="str">
        <x:v>提高宝具／EX权限</x:v>
      </x:c>
      <x:c r="I15" s="58" t="str">
        <x:v>不可直接购买</x:v>
      </x:c>
      <x:c r="J15" s="58" t="str">
        <x:v>真名、传说完成、容器变化或战役奖励</x:v>
      </x:c>
      <x:c r="K15" s="58" t="str"/>
    </x:row>
    <x:row r="16">
      <x:c r="A16" s="127" t="str"/>
      <x:c r="B16" s="127" t="str"/>
      <x:c r="C16" s="127" t="str"/>
      <x:c r="D16" s="127" t="n">
        <x:v>0</x:v>
      </x:c>
      <x:c r="E16" s="127" t="n">
        <x:v>0</x:v>
      </x:c>
      <x:c r="F16" s="137" t="n">
        <x:f>F15+D16-E16</x:f>
        <x:v>0</x:v>
      </x:c>
      <x:c r="G16" s="247"/>
      <x:c r="H16" s="247"/>
      <x:c r="I16" s="247"/>
      <x:c r="J16" s="247"/>
      <x:c r="K16" s="247"/>
    </x:row>
    <x:row r="17">
      <x:c r="A17" s="127" t="str"/>
      <x:c r="B17" s="127" t="str"/>
      <x:c r="C17" s="127" t="str"/>
      <x:c r="D17" s="127" t="n">
        <x:v>0</x:v>
      </x:c>
      <x:c r="E17" s="127" t="n">
        <x:v>0</x:v>
      </x:c>
      <x:c r="F17" s="137" t="n">
        <x:f>F16+D17-E17</x:f>
        <x:v>0</x:v>
      </x:c>
      <x:c r="G17" s="247"/>
      <x:c r="H17" s="247"/>
      <x:c r="I17" s="247"/>
      <x:c r="J17" s="247"/>
      <x:c r="K17" s="247"/>
    </x:row>
    <x:row r="18" ht="24" customHeight="1">
      <x:c r="A18" s="127" t="str"/>
      <x:c r="B18" s="127" t="str"/>
      <x:c r="C18" s="127" t="str"/>
      <x:c r="D18" s="127" t="n">
        <x:v>0</x:v>
      </x:c>
      <x:c r="E18" s="127" t="n">
        <x:v>0</x:v>
      </x:c>
      <x:c r="F18" s="137" t="n">
        <x:f>F17+D18-E18</x:f>
        <x:v>0</x:v>
      </x:c>
      <x:c r="G18" s="247"/>
      <x:c r="H18" s="50" t="str">
        <x:v>A+条件记录</x:v>
      </x:c>
      <x:c r="I18" s="51"/>
      <x:c r="J18" s="51"/>
      <x:c r="K18" s="52"/>
    </x:row>
    <x:row r="19">
      <x:c r="A19" s="127" t="str"/>
      <x:c r="B19" s="127" t="str"/>
      <x:c r="C19" s="127" t="str"/>
      <x:c r="D19" s="127" t="n">
        <x:v>0</x:v>
      </x:c>
      <x:c r="E19" s="127" t="n">
        <x:v>0</x:v>
      </x:c>
      <x:c r="F19" s="137" t="n">
        <x:f>F18+D19-E19</x:f>
        <x:v>0</x:v>
      </x:c>
      <x:c r="G19" s="247"/>
      <x:c r="H19" s="56" t="str">
        <x:v>能力／属性</x:v>
      </x:c>
      <x:c r="I19" s="56" t="str">
        <x:v>触发条件</x:v>
      </x:c>
      <x:c r="J19" s="56" t="str">
        <x:v>表现方式</x:v>
      </x:c>
      <x:c r="K19" s="56" t="str">
        <x:v>持续／边界</x:v>
      </x:c>
    </x:row>
    <x:row r="20">
      <x:c r="A20" s="127" t="str"/>
      <x:c r="B20" s="127" t="str"/>
      <x:c r="C20" s="127" t="str"/>
      <x:c r="D20" s="127" t="n">
        <x:v>0</x:v>
      </x:c>
      <x:c r="E20" s="127" t="n">
        <x:v>0</x:v>
      </x:c>
      <x:c r="F20" s="137" t="n">
        <x:f>F19+D20-E20</x:f>
        <x:v>0</x:v>
      </x:c>
      <x:c r="G20" s="247"/>
      <x:c r="H20" s="127" t="str"/>
      <x:c r="I20" s="127" t="str"/>
      <x:c r="J20" s="127" t="str">
        <x:v>优势／固定+2／提高效果层级三选一</x:v>
      </x:c>
      <x:c r="K20" s="127" t="str">
        <x:v>不重算HP、MP、防御</x:v>
      </x:c>
    </x:row>
    <x:row r="21">
      <x:c r="A21" s="127" t="str"/>
      <x:c r="B21" s="127" t="str"/>
      <x:c r="C21" s="127" t="str"/>
      <x:c r="D21" s="127" t="n">
        <x:v>0</x:v>
      </x:c>
      <x:c r="E21" s="127" t="n">
        <x:v>0</x:v>
      </x:c>
      <x:c r="F21" s="137" t="n">
        <x:f>F20+D21-E21</x:f>
        <x:v>0</x:v>
      </x:c>
      <x:c r="G21" s="247"/>
      <x:c r="H21" s="127" t="str"/>
      <x:c r="I21" s="127" t="str"/>
      <x:c r="J21" s="127" t="str"/>
      <x:c r="K21" s="127" t="str"/>
    </x:row>
    <x:row r="22">
      <x:c r="A22" s="127" t="str"/>
      <x:c r="B22" s="127" t="str"/>
      <x:c r="C22" s="127" t="str"/>
      <x:c r="D22" s="127" t="n">
        <x:v>0</x:v>
      </x:c>
      <x:c r="E22" s="127" t="n">
        <x:v>0</x:v>
      </x:c>
      <x:c r="F22" s="137" t="n">
        <x:f>F21+D22-E22</x:f>
        <x:v>0</x:v>
      </x:c>
      <x:c r="G22" s="247"/>
      <x:c r="H22" s="127" t="str"/>
      <x:c r="I22" s="127" t="str"/>
      <x:c r="J22" s="127" t="str"/>
      <x:c r="K22" s="127" t="str"/>
    </x:row>
    <x:row r="23">
      <x:c r="A23" s="127" t="str"/>
      <x:c r="B23" s="127" t="str"/>
      <x:c r="C23" s="127" t="str"/>
      <x:c r="D23" s="127" t="n">
        <x:v>0</x:v>
      </x:c>
      <x:c r="E23" s="127" t="n">
        <x:v>0</x:v>
      </x:c>
      <x:c r="F23" s="137" t="n">
        <x:f>F22+D23-E23</x:f>
        <x:v>0</x:v>
      </x:c>
      <x:c r="G23" s="247"/>
      <x:c r="H23" s="127" t="str"/>
      <x:c r="I23" s="127" t="str"/>
      <x:c r="J23" s="127" t="str"/>
      <x:c r="K23" s="127" t="str"/>
    </x:row>
    <x:row r="24">
      <x:c r="A24" s="127" t="str"/>
      <x:c r="B24" s="127" t="str"/>
      <x:c r="C24" s="127" t="str"/>
      <x:c r="D24" s="127" t="n">
        <x:v>0</x:v>
      </x:c>
      <x:c r="E24" s="127" t="n">
        <x:v>0</x:v>
      </x:c>
      <x:c r="F24" s="137" t="n">
        <x:f>F23+D24-E24</x:f>
        <x:v>0</x:v>
      </x:c>
      <x:c r="G24" s="247"/>
      <x:c r="H24" s="247"/>
      <x:c r="I24" s="247"/>
      <x:c r="J24" s="247"/>
      <x:c r="K24" s="247"/>
    </x:row>
    <x:row r="25">
      <x:c r="A25" s="127" t="str"/>
      <x:c r="B25" s="127" t="str"/>
      <x:c r="C25" s="127" t="str"/>
      <x:c r="D25" s="127" t="n">
        <x:v>0</x:v>
      </x:c>
      <x:c r="E25" s="127" t="n">
        <x:v>0</x:v>
      </x:c>
      <x:c r="F25" s="137" t="n">
        <x:f>F24+D25-E25</x:f>
        <x:v>0</x:v>
      </x:c>
      <x:c r="G25" s="247"/>
      <x:c r="H25" s="247"/>
      <x:c r="I25" s="247"/>
      <x:c r="J25" s="247"/>
      <x:c r="K25" s="247"/>
    </x:row>
    <x:row r="26">
      <x:c r="A26" s="127" t="str"/>
      <x:c r="B26" s="127" t="str"/>
      <x:c r="C26" s="127" t="str"/>
      <x:c r="D26" s="127" t="n">
        <x:v>0</x:v>
      </x:c>
      <x:c r="E26" s="127" t="n">
        <x:v>0</x:v>
      </x:c>
      <x:c r="F26" s="137" t="n">
        <x:f>F25+D26-E26</x:f>
        <x:v>0</x:v>
      </x:c>
      <x:c r="G26" s="247"/>
      <x:c r="H26" s="247"/>
      <x:c r="I26" s="247"/>
      <x:c r="J26" s="247"/>
      <x:c r="K26" s="247"/>
    </x:row>
    <x:row r="27">
      <x:c r="A27" s="127" t="str"/>
      <x:c r="B27" s="127" t="str"/>
      <x:c r="C27" s="127" t="str"/>
      <x:c r="D27" s="127" t="n">
        <x:v>0</x:v>
      </x:c>
      <x:c r="E27" s="127" t="n">
        <x:v>0</x:v>
      </x:c>
      <x:c r="F27" s="137" t="n">
        <x:f>F26+D27-E27</x:f>
        <x:v>0</x:v>
      </x:c>
      <x:c r="G27" s="247"/>
      <x:c r="H27" s="247"/>
      <x:c r="I27" s="247"/>
      <x:c r="J27" s="247"/>
      <x:c r="K27" s="247"/>
    </x:row>
    <x:row r="28">
      <x:c r="A28" s="127" t="str"/>
      <x:c r="B28" s="127" t="str"/>
      <x:c r="C28" s="127" t="str"/>
      <x:c r="D28" s="127" t="n">
        <x:v>0</x:v>
      </x:c>
      <x:c r="E28" s="127" t="n">
        <x:v>0</x:v>
      </x:c>
      <x:c r="F28" s="137" t="n">
        <x:f>F27+D28-E28</x:f>
        <x:v>0</x:v>
      </x:c>
      <x:c r="G28" s="247"/>
      <x:c r="H28" s="247"/>
      <x:c r="I28" s="247"/>
      <x:c r="J28" s="247"/>
      <x:c r="K28" s="247"/>
    </x:row>
    <x:row r="29">
      <x:c r="A29" s="127" t="str"/>
      <x:c r="B29" s="127" t="str"/>
      <x:c r="C29" s="127" t="str"/>
      <x:c r="D29" s="127" t="n">
        <x:v>0</x:v>
      </x:c>
      <x:c r="E29" s="127" t="n">
        <x:v>0</x:v>
      </x:c>
      <x:c r="F29" s="137" t="n">
        <x:f>F28+D29-E29</x:f>
        <x:v>0</x:v>
      </x:c>
      <x:c r="G29" s="247"/>
      <x:c r="H29" s="247"/>
      <x:c r="I29" s="247"/>
      <x:c r="J29" s="247"/>
      <x:c r="K29" s="247"/>
    </x:row>
    <x:row r="30">
      <x:c r="A30" s="127" t="str"/>
      <x:c r="B30" s="127" t="str"/>
      <x:c r="C30" s="127" t="str"/>
      <x:c r="D30" s="127" t="n">
        <x:v>0</x:v>
      </x:c>
      <x:c r="E30" s="127" t="n">
        <x:v>0</x:v>
      </x:c>
      <x:c r="F30" s="137" t="n">
        <x:f>F29+D30-E30</x:f>
        <x:v>0</x:v>
      </x:c>
      <x:c r="G30" s="247"/>
      <x:c r="H30" s="247"/>
      <x:c r="I30" s="247"/>
      <x:c r="J30" s="247"/>
      <x:c r="K30" s="247"/>
    </x:row>
  </x:sheetData>
  <x:mergeCells>
    <x:mergeCell ref="A1:K1"/>
    <x:mergeCell ref="A2:K2"/>
    <x:mergeCell ref="A3:F3"/>
    <x:mergeCell ref="A8:F8"/>
    <x:mergeCell ref="H3:K3"/>
    <x:mergeCell ref="H18:K18"/>
  </x:mergeCells>
  <x:dataValidations count="2">
    <x:dataValidation type="list" sqref="B4">
      <x:formula1>"普通人,魔术师,从者"</x:formula1>
    </x:dataValidation>
    <x:dataValidation type="list" sqref="B10:B30">
      <x:formula1>"章节奖励,重大目标,永久后果,属性提升,技能提升,学习术式,其他"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10" hidden="0" customWidth="1"/>
    <x:col min="4" max="4" width="12" hidden="0" customWidth="1"/>
    <x:col min="5" max="5" width="3" hidden="0" customWidth="1"/>
    <x:col min="6" max="6" width="12" hidden="0" customWidth="1"/>
    <x:col min="7" max="7" width="9" hidden="0" customWidth="1"/>
    <x:col min="8" max="8" width="9" hidden="0" customWidth="1"/>
    <x:col min="9" max="9" width="3" hidden="0" customWidth="1"/>
    <x:col min="10" max="10" width="12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3" hidden="0" customWidth="1"/>
    <x:col min="17" max="17" width="12" hidden="0" customWidth="1"/>
    <x:col min="18" max="18" width="10" hidden="0" customWidth="1"/>
    <x:col min="19" max="19" width="10" hidden="0" customWidth="1"/>
    <x:col min="20" max="20" width="10" hidden="0" customWidth="1"/>
    <x:col min="21" max="21" width="3" hidden="0" customWidth="1"/>
    <x:col min="22" max="22" width="16" hidden="0" customWidth="1"/>
    <x:col min="23" max="23" width="46" hidden="0" customWidth="1"/>
    <x:col min="24" max="24" width="16" hidden="0" customWidth="1"/>
    <x:col min="25" max="25" width="16" hidden="0" customWidth="1"/>
    <x:col min="26" max="26" width="12" hidden="0" customWidth="1"/>
    <x:col min="27" max="27" width="12" hidden="0" customWidth="1"/>
    <x:col min="28" max="28" width="12" hidden="0" customWidth="1"/>
    <x:col min="29" max="29" width="10" hidden="0" customWidth="1"/>
    <x:col min="30" max="30" width="3" hidden="0" customWidth="1"/>
    <x:col min="31" max="31" width="10" hidden="0" customWidth="1"/>
    <x:col min="32" max="32" width="10" hidden="0" customWidth="1"/>
  </x:cols>
  <x:sheetData>
    <x:row r="1" ht="34" customHeight="1">
      <x:c r="A1" s="4" t="str">
        <x:v>《零之圣杯》规则数据库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</x:row>
    <x:row r="2" ht="22" customHeight="1">
      <x:c r="A2" s="7" t="str">
        <x:v>所有自动公式均引用这里；保留可见以便主持人审计与扩展。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</x:row>
    <x:row r="3" ht="24" customHeight="1">
      <x:c r="A3" s="14" t="str">
        <x:v>属性阶位与成本</x:v>
      </x:c>
      <x:c r="B3" s="15"/>
      <x:c r="C3" s="15"/>
      <x:c r="D3" s="16"/>
      <x:c r="E3" s="247"/>
      <x:c r="F3" s="35" t="str">
        <x:v>通用技能训练</x:v>
      </x:c>
      <x:c r="G3" s="36"/>
      <x:c r="H3" s="37"/>
      <x:c r="I3" s="247"/>
      <x:c r="J3" s="50" t="str">
        <x:v>身份预算</x:v>
      </x:c>
      <x:c r="K3" s="51"/>
      <x:c r="L3" s="51"/>
      <x:c r="M3" s="51"/>
      <x:c r="N3" s="51"/>
      <x:c r="O3" s="52"/>
      <x:c r="P3" s="247"/>
      <x:c r="Q3" s="247"/>
      <x:c r="R3" s="247"/>
      <x:c r="S3" s="247"/>
      <x:c r="T3" s="247"/>
      <x:c r="U3" s="247"/>
      <x:c r="V3" s="247"/>
      <x:c r="W3" s="247"/>
      <x:c r="X3" s="93" t="str">
        <x:v>术式系谱</x:v>
      </x:c>
      <x:c r="Y3" s="247"/>
      <x:c r="Z3" s="104" t="str">
        <x:v>属性名称</x:v>
      </x:c>
      <x:c r="AA3" s="247"/>
      <x:c r="AB3" s="82" t="str">
        <x:v>保有技能阶位成本</x:v>
      </x:c>
      <x:c r="AC3" s="84"/>
      <x:c r="AD3" s="247"/>
      <x:c r="AE3" s="109" t="str">
        <x:v>数值反查阶位</x:v>
      </x:c>
      <x:c r="AF3" s="110"/>
    </x:row>
    <x:row r="4">
      <x:c r="A4" s="20" t="str">
        <x:v>阶位</x:v>
      </x:c>
      <x:c r="B4" s="20" t="str">
        <x:v>数值</x:v>
      </x:c>
      <x:c r="C4" s="20" t="str">
        <x:v>点购总成本</x:v>
      </x:c>
      <x:c r="D4" s="20" t="str">
        <x:v>成长到下一阶</x:v>
      </x:c>
      <x:c r="E4" s="247"/>
      <x:c r="F4" s="41" t="str">
        <x:v>等级</x:v>
      </x:c>
      <x:c r="G4" s="41" t="str">
        <x:v>检定加值</x:v>
      </x:c>
      <x:c r="H4" s="41" t="str">
        <x:v>点数成本</x:v>
      </x:c>
      <x:c r="I4" s="247"/>
      <x:c r="J4" s="56" t="str">
        <x:v>身份</x:v>
      </x:c>
      <x:c r="K4" s="56" t="str">
        <x:v>属性预算</x:v>
      </x:c>
      <x:c r="L4" s="56" t="str">
        <x:v>属性上限</x:v>
      </x:c>
      <x:c r="M4" s="56" t="str">
        <x:v>技能预算</x:v>
      </x:c>
      <x:c r="N4" s="56" t="str">
        <x:v>专家上限</x:v>
      </x:c>
      <x:c r="O4" s="56" t="str">
        <x:v>魔力下限</x:v>
      </x:c>
      <x:c r="P4" s="247"/>
      <x:c r="Q4" s="247"/>
      <x:c r="R4" s="247"/>
      <x:c r="S4" s="247"/>
      <x:c r="T4" s="247"/>
      <x:c r="U4" s="247"/>
      <x:c r="V4" s="247"/>
      <x:c r="W4" s="247"/>
      <x:c r="X4" s="99" t="str">
        <x:v>结界系谱</x:v>
      </x:c>
      <x:c r="Y4" s="247"/>
      <x:c r="Z4" s="26" t="str">
        <x:v>体魄</x:v>
      </x:c>
      <x:c r="AA4" s="247"/>
      <x:c r="AB4" s="88" t="str">
        <x:v>阶位</x:v>
      </x:c>
      <x:c r="AC4" s="88" t="str">
        <x:v>点数</x:v>
      </x:c>
      <x:c r="AD4" s="247"/>
      <x:c r="AE4" s="20" t="str">
        <x:v>数值</x:v>
      </x:c>
      <x:c r="AF4" s="20" t="str">
        <x:v>阶位</x:v>
      </x:c>
    </x:row>
    <x:row r="5">
      <x:c r="A5" s="26" t="str">
        <x:v>E</x:v>
      </x:c>
      <x:c r="B5" s="26" t="n">
        <x:v>0</x:v>
      </x:c>
      <x:c r="C5" s="26" t="n">
        <x:v>0</x:v>
      </x:c>
      <x:c r="D5" s="26" t="n">
        <x:v>2</x:v>
      </x:c>
      <x:c r="E5" s="247"/>
      <x:c r="F5" s="26" t="str">
        <x:v>未受训</x:v>
      </x:c>
      <x:c r="G5" s="26" t="n">
        <x:v>0</x:v>
      </x:c>
      <x:c r="H5" s="26" t="n">
        <x:v>0</x:v>
      </x:c>
      <x:c r="I5" s="247"/>
      <x:c r="J5" s="26" t="str">
        <x:v>普通人</x:v>
      </x:c>
      <x:c r="K5" s="26" t="n">
        <x:v>14</x:v>
      </x:c>
      <x:c r="L5" s="26" t="n">
        <x:v>3</x:v>
      </x:c>
      <x:c r="M5" s="26" t="n">
        <x:v>6</x:v>
      </x:c>
      <x:c r="N5" s="26" t="n">
        <x:v>1</x:v>
      </x:c>
      <x:c r="O5" s="26" t="n">
        <x:v>0</x:v>
      </x:c>
      <x:c r="P5" s="247"/>
      <x:c r="Q5" s="247"/>
      <x:c r="R5" s="247"/>
      <x:c r="S5" s="247"/>
      <x:c r="T5" s="247"/>
      <x:c r="U5" s="247"/>
      <x:c r="V5" s="247"/>
      <x:c r="W5" s="247"/>
      <x:c r="X5" s="99" t="str">
        <x:v>强化系谱</x:v>
      </x:c>
      <x:c r="Y5" s="247"/>
      <x:c r="Z5" s="26" t="str">
        <x:v>耐久</x:v>
      </x:c>
      <x:c r="AA5" s="247"/>
      <x:c r="AB5" s="26" t="str">
        <x:v>E</x:v>
      </x:c>
      <x:c r="AC5" s="26" t="n">
        <x:v>0</x:v>
      </x:c>
      <x:c r="AD5" s="247"/>
      <x:c r="AE5" s="26" t="n">
        <x:v>0</x:v>
      </x:c>
      <x:c r="AF5" s="26" t="str">
        <x:v>E</x:v>
      </x:c>
    </x:row>
    <x:row r="6">
      <x:c r="A6" s="26" t="str">
        <x:v>D</x:v>
      </x:c>
      <x:c r="B6" s="26" t="n">
        <x:v>1</x:v>
      </x:c>
      <x:c r="C6" s="26" t="n">
        <x:v>1</x:v>
      </x:c>
      <x:c r="D6" s="26" t="n">
        <x:v>3</x:v>
      </x:c>
      <x:c r="E6" s="247"/>
      <x:c r="F6" s="26" t="str">
        <x:v>受训</x:v>
      </x:c>
      <x:c r="G6" s="26" t="n">
        <x:v>2</x:v>
      </x:c>
      <x:c r="H6" s="26" t="n">
        <x:v>1</x:v>
      </x:c>
      <x:c r="I6" s="247"/>
      <x:c r="J6" s="26" t="str">
        <x:v>魔术师</x:v>
      </x:c>
      <x:c r="K6" s="26" t="n">
        <x:v>15</x:v>
      </x:c>
      <x:c r="L6" s="26" t="n">
        <x:v>3</x:v>
      </x:c>
      <x:c r="M6" s="26" t="n">
        <x:v>6</x:v>
      </x:c>
      <x:c r="N6" s="26" t="n">
        <x:v>1</x:v>
      </x:c>
      <x:c r="O6" s="26" t="n">
        <x:v>1</x:v>
      </x:c>
      <x:c r="P6" s="247"/>
      <x:c r="Q6" s="247"/>
      <x:c r="R6" s="247"/>
      <x:c r="S6" s="247"/>
      <x:c r="T6" s="247"/>
      <x:c r="U6" s="247"/>
      <x:c r="V6" s="247"/>
      <x:c r="W6" s="247"/>
      <x:c r="X6" s="99" t="str">
        <x:v>炼金系谱</x:v>
      </x:c>
      <x:c r="Y6" s="247"/>
      <x:c r="Z6" s="26" t="str">
        <x:v>灵巧</x:v>
      </x:c>
      <x:c r="AA6" s="247"/>
      <x:c r="AB6" s="26" t="str">
        <x:v>D</x:v>
      </x:c>
      <x:c r="AC6" s="26" t="n">
        <x:v>1</x:v>
      </x:c>
      <x:c r="AD6" s="247"/>
      <x:c r="AE6" s="26" t="n">
        <x:v>1</x:v>
      </x:c>
      <x:c r="AF6" s="26" t="str">
        <x:v>D</x:v>
      </x:c>
    </x:row>
    <x:row r="7">
      <x:c r="A7" s="26" t="str">
        <x:v>C</x:v>
      </x:c>
      <x:c r="B7" s="26" t="n">
        <x:v>2</x:v>
      </x:c>
      <x:c r="C7" s="26" t="n">
        <x:v>3</x:v>
      </x:c>
      <x:c r="D7" s="26" t="n">
        <x:v>5</x:v>
      </x:c>
      <x:c r="E7" s="247"/>
      <x:c r="F7" s="26" t="str">
        <x:v>专家</x:v>
      </x:c>
      <x:c r="G7" s="26" t="n">
        <x:v>4</x:v>
      </x:c>
      <x:c r="H7" s="26" t="n">
        <x:v>2</x:v>
      </x:c>
      <x:c r="I7" s="247"/>
      <x:c r="J7" s="26" t="str">
        <x:v>从者</x:v>
      </x:c>
      <x:c r="K7" s="26" t="n">
        <x:v>30</x:v>
      </x:c>
      <x:c r="L7" s="26" t="n">
        <x:v>4</x:v>
      </x:c>
      <x:c r="M7" s="26" t="n">
        <x:v>8</x:v>
      </x:c>
      <x:c r="N7" s="26" t="n">
        <x:v>2</x:v>
      </x:c>
      <x:c r="O7" s="26" t="n">
        <x:v>0</x:v>
      </x:c>
      <x:c r="P7" s="247"/>
      <x:c r="Q7" s="247"/>
      <x:c r="R7" s="247"/>
      <x:c r="S7" s="247"/>
      <x:c r="T7" s="247"/>
      <x:c r="U7" s="247"/>
      <x:c r="V7" s="247"/>
      <x:c r="W7" s="247"/>
      <x:c r="X7" s="99" t="str">
        <x:v>召唤系谱</x:v>
      </x:c>
      <x:c r="Y7" s="247"/>
      <x:c r="Z7" s="26" t="str">
        <x:v>感知</x:v>
      </x:c>
      <x:c r="AA7" s="247"/>
      <x:c r="AB7" s="26" t="str">
        <x:v>C</x:v>
      </x:c>
      <x:c r="AC7" s="26" t="n">
        <x:v>2</x:v>
      </x:c>
      <x:c r="AD7" s="247"/>
      <x:c r="AE7" s="26" t="n">
        <x:v>2</x:v>
      </x:c>
      <x:c r="AF7" s="26" t="str">
        <x:v>C</x:v>
      </x:c>
    </x:row>
    <x:row r="8">
      <x:c r="A8" s="26" t="str">
        <x:v>B</x:v>
      </x:c>
      <x:c r="B8" s="26" t="n">
        <x:v>3</x:v>
      </x:c>
      <x:c r="C8" s="26" t="n">
        <x:v>6</x:v>
      </x:c>
      <x:c r="D8" s="26" t="n">
        <x:v>8</x:v>
      </x:c>
      <x:c r="E8" s="247"/>
      <x:c r="F8" s="247"/>
      <x:c r="G8" s="247"/>
      <x:c r="H8" s="247"/>
      <x:c r="I8" s="247"/>
      <x:c r="J8" s="247"/>
      <x:c r="K8" s="247"/>
      <x:c r="L8" s="247"/>
      <x:c r="M8" s="247"/>
      <x:c r="N8" s="247"/>
      <x:c r="O8" s="247"/>
      <x:c r="P8" s="247"/>
      <x:c r="Q8" s="247"/>
      <x:c r="R8" s="247"/>
      <x:c r="S8" s="247"/>
      <x:c r="T8" s="247"/>
      <x:c r="U8" s="247"/>
      <x:c r="V8" s="247"/>
      <x:c r="W8" s="247"/>
      <x:c r="X8" s="99" t="str">
        <x:v>符文系谱</x:v>
      </x:c>
      <x:c r="Y8" s="247"/>
      <x:c r="Z8" s="26" t="str">
        <x:v>学识</x:v>
      </x:c>
      <x:c r="AA8" s="247"/>
      <x:c r="AB8" s="26" t="str">
        <x:v>B</x:v>
      </x:c>
      <x:c r="AC8" s="26" t="n">
        <x:v>3</x:v>
      </x:c>
      <x:c r="AD8" s="247"/>
      <x:c r="AE8" s="26" t="n">
        <x:v>3</x:v>
      </x:c>
      <x:c r="AF8" s="26" t="str">
        <x:v>B</x:v>
      </x:c>
    </x:row>
    <x:row r="9">
      <x:c r="A9" s="26" t="str">
        <x:v>A</x:v>
      </x:c>
      <x:c r="B9" s="26" t="n">
        <x:v>4</x:v>
      </x:c>
      <x:c r="C9" s="26" t="n">
        <x:v>10</x:v>
      </x:c>
      <x:c r="D9" s="26" t="str">
        <x:v>需授权</x:v>
      </x:c>
      <x:c r="E9" s="247"/>
      <x:c r="F9" s="247"/>
      <x:c r="G9" s="247"/>
      <x:c r="H9" s="247"/>
      <x:c r="I9" s="247"/>
      <x:c r="J9" s="247"/>
      <x:c r="K9" s="247"/>
      <x:c r="L9" s="247"/>
      <x:c r="M9" s="247"/>
      <x:c r="N9" s="247"/>
      <x:c r="O9" s="247"/>
      <x:c r="P9" s="247"/>
      <x:c r="Q9" s="247"/>
      <x:c r="R9" s="247"/>
      <x:c r="S9" s="247"/>
      <x:c r="T9" s="247"/>
      <x:c r="U9" s="247"/>
      <x:c r="V9" s="247"/>
      <x:c r="W9" s="247"/>
      <x:c r="X9" s="99" t="str">
        <x:v>占星系谱</x:v>
      </x:c>
      <x:c r="Y9" s="247"/>
      <x:c r="Z9" s="26" t="str">
        <x:v>意志</x:v>
      </x:c>
      <x:c r="AA9" s="247"/>
      <x:c r="AB9" s="26" t="str">
        <x:v>A</x:v>
      </x:c>
      <x:c r="AC9" s="26" t="n">
        <x:v>4</x:v>
      </x:c>
      <x:c r="AD9" s="247"/>
      <x:c r="AE9" s="26" t="n">
        <x:v>4</x:v>
      </x:c>
      <x:c r="AF9" s="26" t="str">
        <x:v>A</x:v>
      </x:c>
    </x:row>
    <x:row r="10">
      <x:c r="A10" s="247"/>
      <x:c r="B10" s="247"/>
      <x:c r="C10" s="247"/>
      <x:c r="D10" s="247"/>
      <x:c r="E10" s="247"/>
      <x:c r="F10" s="247"/>
      <x:c r="G10" s="247"/>
      <x:c r="H10" s="247"/>
      <x:c r="I10" s="247"/>
      <x:c r="J10" s="247"/>
      <x:c r="K10" s="247"/>
      <x:c r="L10" s="247"/>
      <x:c r="M10" s="247"/>
      <x:c r="N10" s="247"/>
      <x:c r="O10" s="247"/>
      <x:c r="P10" s="247"/>
      <x:c r="Q10" s="247"/>
      <x:c r="R10" s="247"/>
      <x:c r="S10" s="247"/>
      <x:c r="T10" s="247"/>
      <x:c r="U10" s="247"/>
      <x:c r="V10" s="247"/>
      <x:c r="W10" s="247"/>
      <x:c r="X10" s="99" t="str">
        <x:v>灵脉系谱</x:v>
      </x:c>
      <x:c r="Y10" s="247"/>
      <x:c r="Z10" s="26" t="str">
        <x:v>魔力</x:v>
      </x:c>
      <x:c r="AA10" s="247"/>
      <x:c r="AB10" s="247"/>
      <x:c r="AC10" s="247"/>
      <x:c r="AD10" s="247"/>
      <x:c r="AE10" s="247"/>
      <x:c r="AF10" s="247"/>
    </x:row>
    <x:row r="11" ht="24" customHeight="1">
      <x:c r="A11" s="35" t="str">
        <x:v>十二项通用技能</x:v>
      </x:c>
      <x:c r="B11" s="36"/>
      <x:c r="C11" s="36"/>
      <x:c r="D11" s="37"/>
      <x:c r="E11" s="247"/>
      <x:c r="F11" s="67" t="str">
        <x:v>普通人背景</x:v>
      </x:c>
      <x:c r="G11" s="68"/>
      <x:c r="H11" s="68"/>
      <x:c r="I11" s="69"/>
      <x:c r="J11" s="247"/>
      <x:c r="K11" s="50" t="str">
        <x:v>供魔等级</x:v>
      </x:c>
      <x:c r="L11" s="51"/>
      <x:c r="M11" s="52"/>
      <x:c r="N11" s="247"/>
      <x:c r="O11" s="82" t="str">
        <x:v>宝具阶位</x:v>
      </x:c>
      <x:c r="P11" s="83"/>
      <x:c r="Q11" s="83"/>
      <x:c r="R11" s="83"/>
      <x:c r="S11" s="84"/>
      <x:c r="T11" s="247"/>
      <x:c r="U11" s="247"/>
      <x:c r="V11" s="82" t="str">
        <x:v>宝具类型</x:v>
      </x:c>
      <x:c r="W11" s="84"/>
      <x:c r="X11" s="99" t="str">
        <x:v>记忆系谱</x:v>
      </x:c>
      <x:c r="Y11" s="247"/>
      <x:c r="Z11" s="247"/>
      <x:c r="AA11" s="247"/>
      <x:c r="AB11" s="247"/>
      <x:c r="AC11" s="247"/>
      <x:c r="AD11" s="247"/>
      <x:c r="AE11" s="247"/>
      <x:c r="AF11" s="247"/>
    </x:row>
    <x:row r="12">
      <x:c r="A12" s="41" t="str">
        <x:v>技能</x:v>
      </x:c>
      <x:c r="B12" s="41" t="str">
        <x:v>常见应用</x:v>
      </x:c>
      <x:c r="C12" s="41" t="str">
        <x:v>建议属性</x:v>
      </x:c>
      <x:c r="D12" s="41" t="str">
        <x:v>战斗技能</x:v>
      </x:c>
      <x:c r="E12" s="247"/>
      <x:c r="F12" s="73" t="str">
        <x:v>背景</x:v>
      </x:c>
      <x:c r="G12" s="73" t="str">
        <x:v>推荐技能</x:v>
      </x:c>
      <x:c r="H12" s="73" t="str">
        <x:v>标志才能示例</x:v>
      </x:c>
      <x:c r="I12" s="73" t="str">
        <x:v>现实优势示例</x:v>
      </x:c>
      <x:c r="J12" s="247"/>
      <x:c r="K12" s="56" t="str">
        <x:v>等级</x:v>
      </x:c>
      <x:c r="L12" s="56" t="str">
        <x:v>MP修正</x:v>
      </x:c>
      <x:c r="M12" s="56" t="str">
        <x:v>说明</x:v>
      </x:c>
      <x:c r="N12" s="247"/>
      <x:c r="O12" s="88" t="str">
        <x:v>阶位</x:v>
      </x:c>
      <x:c r="P12" s="88" t="str">
        <x:v>阶位加值</x:v>
      </x:c>
      <x:c r="Q12" s="88" t="str">
        <x:v>MP</x:v>
      </x:c>
      <x:c r="R12" s="88" t="str">
        <x:v>对人伤害／护盾</x:v>
      </x:c>
      <x:c r="S12" s="88" t="str">
        <x:v>保有技能上限</x:v>
      </x:c>
      <x:c r="T12" s="247"/>
      <x:c r="U12" s="247"/>
      <x:c r="V12" s="88" t="str">
        <x:v>类型</x:v>
      </x:c>
      <x:c r="W12" s="88" t="str">
        <x:v>规则效果</x:v>
      </x:c>
      <x:c r="X12" s="99" t="str">
        <x:v>降灵系谱</x:v>
      </x:c>
      <x:c r="Y12" s="247"/>
      <x:c r="Z12" s="247"/>
      <x:c r="AA12" s="247"/>
      <x:c r="AB12" s="247"/>
      <x:c r="AC12" s="247"/>
      <x:c r="AD12" s="247"/>
      <x:c r="AE12" s="247"/>
      <x:c r="AF12" s="247"/>
    </x:row>
    <x:row r="13">
      <x:c r="A13" s="58" t="str">
        <x:v>运动</x:v>
      </x:c>
      <x:c r="B13" s="58" t="str">
        <x:v>奔跑、攀爬、游泳、挣脱</x:v>
      </x:c>
      <x:c r="C13" s="58" t="str">
        <x:v>体魄／灵巧／耐久</x:v>
      </x:c>
      <x:c r="D13" s="58" t="n">
        <x:v>0</x:v>
      </x:c>
      <x:c r="E13" s="247"/>
      <x:c r="F13" s="58" t="str">
        <x:v>医疗与照护</x:v>
      </x:c>
      <x:c r="G13" s="58" t="str">
        <x:v>医疗、侦查、交涉</x:v>
      </x:c>
      <x:c r="H13" s="58" t="str">
        <x:v>黄金十分钟：恢复3生命并止血</x:v>
      </x:c>
      <x:c r="I13" s="58" t="str">
        <x:v>医疗机构权限／药品与急救渠道</x:v>
      </x:c>
      <x:c r="J13" s="247"/>
      <x:c r="K13" s="58" t="str">
        <x:v>不足</x:v>
      </x:c>
      <x:c r="L13" s="58" t="n">
        <x:v>-2</x:v>
      </x:c>
      <x:c r="M13" s="58" t="str">
        <x:v>每场首次宝具解放后，御主失去2生命或从者再失2 MP。</x:v>
      </x:c>
      <x:c r="N13" s="247"/>
      <x:c r="O13" s="26" t="str">
        <x:v>E</x:v>
      </x:c>
      <x:c r="P13" s="26" t="n">
        <x:v>0</x:v>
      </x:c>
      <x:c r="Q13" s="26" t="n">
        <x:v>3</x:v>
      </x:c>
      <x:c r="R13" s="26" t="n">
        <x:v>6</x:v>
      </x:c>
      <x:c r="S13" s="26" t="n">
        <x:v>7</x:v>
      </x:c>
      <x:c r="T13" s="247"/>
      <x:c r="U13" s="247"/>
      <x:c r="V13" s="58" t="str">
        <x:v>对人</x:v>
      </x:c>
      <x:c r="W13" s="58" t="str">
        <x:v>完整伤害；集中一个主要目标。</x:v>
      </x:c>
      <x:c r="X13" s="247"/>
      <x:c r="Y13" s="247"/>
      <x:c r="Z13" s="247"/>
      <x:c r="AA13" s="247"/>
      <x:c r="AB13" s="247"/>
      <x:c r="AC13" s="247"/>
      <x:c r="AD13" s="247"/>
      <x:c r="AE13" s="247"/>
      <x:c r="AF13" s="247"/>
    </x:row>
    <x:row r="14" ht="24" customHeight="1">
      <x:c r="A14" s="58" t="str">
        <x:v>近战</x:v>
      </x:c>
      <x:c r="B14" s="58" t="str">
        <x:v>徒手、刀剑、长兵器、格挡</x:v>
      </x:c>
      <x:c r="C14" s="58" t="str">
        <x:v>体魄／灵巧</x:v>
      </x:c>
      <x:c r="D14" s="58" t="n">
        <x:v>1</x:v>
      </x:c>
      <x:c r="E14" s="247"/>
      <x:c r="F14" s="58" t="str">
        <x:v>调查与媒体</x:v>
      </x:c>
      <x:c r="G14" s="58" t="str">
        <x:v>调查、侦查、交涉</x:v>
      </x:c>
      <x:c r="H14" s="58" t="str">
        <x:v>公开记录：证据难以被抹除</x:v>
      </x:c>
      <x:c r="I14" s="58" t="str">
        <x:v>媒体渠道／公开档案／采访网络</x:v>
      </x:c>
      <x:c r="J14" s="247"/>
      <x:c r="K14" s="58" t="str">
        <x:v>稳定</x:v>
      </x:c>
      <x:c r="L14" s="58" t="n">
        <x:v>0</x:v>
      </x:c>
      <x:c r="M14" s="58" t="str">
        <x:v>无额外修正。</x:v>
      </x:c>
      <x:c r="N14" s="247"/>
      <x:c r="O14" s="26" t="str">
        <x:v>D</x:v>
      </x:c>
      <x:c r="P14" s="26" t="n">
        <x:v>1</x:v>
      </x:c>
      <x:c r="Q14" s="26" t="n">
        <x:v>4</x:v>
      </x:c>
      <x:c r="R14" s="26" t="n">
        <x:v>7</x:v>
      </x:c>
      <x:c r="S14" s="26" t="n">
        <x:v>7</x:v>
      </x:c>
      <x:c r="T14" s="247"/>
      <x:c r="U14" s="247"/>
      <x:c r="V14" s="58" t="str">
        <x:v>对军</x:v>
      </x:c>
      <x:c r="W14" s="58" t="str">
        <x:v>一个距离带内所有目标；基础伤害-2。</x:v>
      </x:c>
      <x:c r="X14" s="113" t="str">
        <x:v>现实优势候选</x:v>
      </x:c>
      <x:c r="Y14" s="247"/>
      <x:c r="Z14" s="116" t="str">
        <x:v>职阶名称</x:v>
      </x:c>
      <x:c r="AA14" s="247"/>
      <x:c r="AB14" s="247"/>
      <x:c r="AC14" s="247"/>
      <x:c r="AD14" s="247"/>
      <x:c r="AE14" s="247"/>
      <x:c r="AF14" s="247"/>
    </x:row>
    <x:row r="15">
      <x:c r="A15" s="58" t="str">
        <x:v>射击</x:v>
      </x:c>
      <x:c r="B15" s="58" t="str">
        <x:v>枪械、弓弩、投掷、瞄准</x:v>
      </x:c>
      <x:c r="C15" s="58" t="str">
        <x:v>灵巧</x:v>
      </x:c>
      <x:c r="D15" s="58" t="n">
        <x:v>1</x:v>
      </x:c>
      <x:c r="E15" s="247"/>
      <x:c r="F15" s="58" t="str">
        <x:v>工程与技术</x:v>
      </x:c>
      <x:c r="G15" s="58" t="str">
        <x:v>技术、学术、运动</x:v>
      </x:c>
      <x:c r="H15" s="58" t="str">
        <x:v>旁路施工：切断供能或打开安全通道</x:v>
      </x:c>
      <x:c r="I15" s="58" t="str">
        <x:v>工程设备／技术团队／设施权限</x:v>
      </x:c>
      <x:c r="J15" s="247"/>
      <x:c r="K15" s="58" t="str">
        <x:v>充足</x:v>
      </x:c>
      <x:c r="L15" s="58" t="n">
        <x:v>2</x:v>
      </x:c>
      <x:c r="M15" s="58" t="str">
        <x:v>每场一次，回合开始恢复2 MP。</x:v>
      </x:c>
      <x:c r="N15" s="247"/>
      <x:c r="O15" s="26" t="str">
        <x:v>C</x:v>
      </x:c>
      <x:c r="P15" s="26" t="n">
        <x:v>2</x:v>
      </x:c>
      <x:c r="Q15" s="26" t="n">
        <x:v>5</x:v>
      </x:c>
      <x:c r="R15" s="26" t="n">
        <x:v>8</x:v>
      </x:c>
      <x:c r="S15" s="26" t="n">
        <x:v>7</x:v>
      </x:c>
      <x:c r="T15" s="247"/>
      <x:c r="U15" s="247"/>
      <x:c r="V15" s="58" t="str">
        <x:v>对城／对堡</x:v>
      </x:c>
      <x:c r="W15" s="58" t="str">
        <x:v>对建筑、阵地与巨大目标+4；对人员通常按对军。</x:v>
      </x:c>
      <x:c r="X15" s="58" t="str">
        <x:v>机构权限</x:v>
      </x:c>
      <x:c r="Y15" s="247"/>
      <x:c r="Z15" s="26" t="str">
        <x:v>Saber</x:v>
      </x:c>
      <x:c r="AA15" s="247"/>
      <x:c r="AB15" s="247"/>
      <x:c r="AC15" s="247"/>
      <x:c r="AD15" s="247"/>
      <x:c r="AE15" s="247"/>
      <x:c r="AF15" s="247"/>
    </x:row>
    <x:row r="16">
      <x:c r="A16" s="58" t="str">
        <x:v>潜行</x:v>
      </x:c>
      <x:c r="B16" s="58" t="str">
        <x:v>隐藏、尾随、藏物</x:v>
      </x:c>
      <x:c r="C16" s="58" t="str">
        <x:v>灵巧</x:v>
      </x:c>
      <x:c r="D16" s="58" t="n">
        <x:v>0</x:v>
      </x:c>
      <x:c r="E16" s="247"/>
      <x:c r="F16" s="58" t="str">
        <x:v>护卫与军警</x:v>
      </x:c>
      <x:c r="G16" s="58" t="str">
        <x:v>近战、射击、指挥</x:v>
      </x:c>
      <x:c r="H16" s="58" t="str">
        <x:v>交叉掩护：盟友移动不触发反应</x:v>
      </x:c>
      <x:c r="I16" s="58" t="str">
        <x:v>军警训练／装备渠道／临场指挥权</x:v>
      </x:c>
      <x:c r="J16" s="247"/>
      <x:c r="K16" s="58" t="str">
        <x:v>系统供给</x:v>
      </x:c>
      <x:c r="L16" s="58" t="n">
        <x:v>0</x:v>
      </x:c>
      <x:c r="M16" s="58" t="str">
        <x:v>由战役框架填写专属值。</x:v>
      </x:c>
      <x:c r="N16" s="247"/>
      <x:c r="O16" s="26" t="str">
        <x:v>B</x:v>
      </x:c>
      <x:c r="P16" s="26" t="n">
        <x:v>3</x:v>
      </x:c>
      <x:c r="Q16" s="26" t="n">
        <x:v>6</x:v>
      </x:c>
      <x:c r="R16" s="26" t="n">
        <x:v>10</x:v>
      </x:c>
      <x:c r="S16" s="26" t="n">
        <x:v>6</x:v>
      </x:c>
      <x:c r="T16" s="247"/>
      <x:c r="U16" s="247"/>
      <x:c r="V16" s="58" t="str">
        <x:v>结界／支援</x:v>
      </x:c>
      <x:c r="W16" s="58" t="str">
        <x:v>把伤害换成等值护盾、恢复、增益或区域规则。</x:v>
      </x:c>
      <x:c r="X16" s="58" t="str">
        <x:v>财富</x:v>
      </x:c>
      <x:c r="Y16" s="247"/>
      <x:c r="Z16" s="26" t="str">
        <x:v>Archer</x:v>
      </x:c>
      <x:c r="AA16" s="247"/>
      <x:c r="AB16" s="247"/>
      <x:c r="AC16" s="247"/>
      <x:c r="AD16" s="247"/>
      <x:c r="AE16" s="247"/>
      <x:c r="AF16" s="247"/>
    </x:row>
    <x:row r="17">
      <x:c r="A17" s="58" t="str">
        <x:v>侦查</x:v>
      </x:c>
      <x:c r="B17" s="58" t="str">
        <x:v>警戒、搜寻、追踪、魔力波动</x:v>
      </x:c>
      <x:c r="C17" s="58" t="str">
        <x:v>感知</x:v>
      </x:c>
      <x:c r="D17" s="58" t="n">
        <x:v>0</x:v>
      </x:c>
      <x:c r="E17" s="247"/>
      <x:c r="F17" s="58" t="str">
        <x:v>社区与制度</x:v>
      </x:c>
      <x:c r="G17" s="58" t="str">
        <x:v>交涉、调查、指挥</x:v>
      </x:c>
      <x:c r="H17" s="58" t="str">
        <x:v>合法入口：调动避难、学校或医院资源</x:v>
      </x:c>
      <x:c r="I17" s="58" t="str">
        <x:v>社区信任／制度权限／公共资源</x:v>
      </x:c>
      <x:c r="J17" s="247"/>
      <x:c r="K17" s="247"/>
      <x:c r="L17" s="247"/>
      <x:c r="M17" s="247"/>
      <x:c r="N17" s="247"/>
      <x:c r="O17" s="26" t="str">
        <x:v>A</x:v>
      </x:c>
      <x:c r="P17" s="26" t="n">
        <x:v>4</x:v>
      </x:c>
      <x:c r="Q17" s="26" t="n">
        <x:v>8</x:v>
      </x:c>
      <x:c r="R17" s="26" t="n">
        <x:v>12</x:v>
      </x:c>
      <x:c r="S17" s="26" t="n">
        <x:v>5</x:v>
      </x:c>
      <x:c r="T17" s="247"/>
      <x:c r="U17" s="247"/>
      <x:c r="V17" s="58" t="str">
        <x:v>概念／特殊</x:v>
      </x:c>
      <x:c r="W17" s="58" t="str">
        <x:v>以幸运、精神、同级宝具或明确弱点反制。</x:v>
      </x:c>
      <x:c r="X17" s="58" t="str">
        <x:v>媒体</x:v>
      </x:c>
      <x:c r="Y17" s="247"/>
      <x:c r="Z17" s="26" t="str">
        <x:v>Lancer</x:v>
      </x:c>
      <x:c r="AA17" s="247"/>
      <x:c r="AB17" s="247"/>
      <x:c r="AC17" s="247"/>
      <x:c r="AD17" s="247"/>
      <x:c r="AE17" s="247"/>
      <x:c r="AF17" s="247"/>
    </x:row>
    <x:row r="18">
      <x:c r="A18" s="58" t="str">
        <x:v>调查</x:v>
      </x:c>
      <x:c r="B18" s="58" t="str">
        <x:v>现场还原、查档、讯问</x:v>
      </x:c>
      <x:c r="C18" s="58" t="str">
        <x:v>学识／感知</x:v>
      </x:c>
      <x:c r="D18" s="58" t="n">
        <x:v>0</x:v>
      </x:c>
      <x:c r="E18" s="247"/>
      <x:c r="F18" s="58" t="str">
        <x:v>学生／无籍者</x:v>
      </x:c>
      <x:c r="G18" s="58" t="str">
        <x:v>潜行、侦查、技术</x:v>
      </x:c>
      <x:c r="H18" s="58" t="str">
        <x:v>被忽略的路线：进入系统忽视的空间</x:v>
      </x:c>
      <x:c r="I18" s="58" t="str">
        <x:v>低关注身份／校园网络／地下路线</x:v>
      </x:c>
      <x:c r="J18" s="247"/>
      <x:c r="K18" s="247"/>
      <x:c r="L18" s="247"/>
      <x:c r="M18" s="247"/>
      <x:c r="N18" s="247"/>
      <x:c r="O18" s="247"/>
      <x:c r="P18" s="247"/>
      <x:c r="Q18" s="247"/>
      <x:c r="R18" s="247"/>
      <x:c r="S18" s="247"/>
      <x:c r="T18" s="247"/>
      <x:c r="U18" s="247"/>
      <x:c r="V18" s="247"/>
      <x:c r="W18" s="247"/>
      <x:c r="X18" s="58" t="str">
        <x:v>医疗</x:v>
      </x:c>
      <x:c r="Y18" s="247"/>
      <x:c r="Z18" s="26" t="str">
        <x:v>Rider</x:v>
      </x:c>
      <x:c r="AA18" s="247"/>
      <x:c r="AB18" s="247"/>
      <x:c r="AC18" s="247"/>
      <x:c r="AD18" s="247"/>
      <x:c r="AE18" s="247"/>
      <x:c r="AF18" s="247"/>
    </x:row>
    <x:row r="19">
      <x:c r="A19" s="58" t="str">
        <x:v>学术</x:v>
      </x:c>
      <x:c r="B19" s="58" t="str">
        <x:v>历史、神话、语言、法律</x:v>
      </x:c>
      <x:c r="C19" s="58" t="str">
        <x:v>学识</x:v>
      </x:c>
      <x:c r="D19" s="58" t="n">
        <x:v>0</x:v>
      </x:c>
      <x:c r="E19" s="247"/>
      <x:c r="F19" s="247"/>
      <x:c r="G19" s="247"/>
      <x:c r="H19" s="247"/>
      <x:c r="I19" s="247"/>
      <x:c r="J19" s="247"/>
      <x:c r="K19" s="247"/>
      <x:c r="L19" s="247"/>
      <x:c r="M19" s="247"/>
      <x:c r="N19" s="247"/>
      <x:c r="O19" s="247"/>
      <x:c r="P19" s="247"/>
      <x:c r="Q19" s="247"/>
      <x:c r="R19" s="247"/>
      <x:c r="S19" s="247"/>
      <x:c r="T19" s="247"/>
      <x:c r="U19" s="247"/>
      <x:c r="V19" s="247"/>
      <x:c r="W19" s="247"/>
      <x:c r="X19" s="58" t="str">
        <x:v>工程</x:v>
      </x:c>
      <x:c r="Y19" s="247"/>
      <x:c r="Z19" s="26" t="str">
        <x:v>Caster</x:v>
      </x:c>
      <x:c r="AA19" s="247"/>
      <x:c r="AB19" s="247"/>
      <x:c r="AC19" s="247"/>
      <x:c r="AD19" s="247"/>
      <x:c r="AE19" s="247"/>
      <x:c r="AF19" s="247"/>
    </x:row>
    <x:row r="20">
      <x:c r="A20" s="58" t="str">
        <x:v>技术</x:v>
      </x:c>
      <x:c r="B20" s="58" t="str">
        <x:v>电子、机械、爆破、驾驶</x:v>
      </x:c>
      <x:c r="C20" s="58" t="str">
        <x:v>学识／灵巧</x:v>
      </x:c>
      <x:c r="D20" s="58" t="n">
        <x:v>0</x:v>
      </x:c>
      <x:c r="E20" s="247"/>
      <x:c r="F20" s="247"/>
      <x:c r="G20" s="247"/>
      <x:c r="H20" s="247"/>
      <x:c r="I20" s="247"/>
      <x:c r="J20" s="247"/>
      <x:c r="K20" s="247"/>
      <x:c r="L20" s="247"/>
      <x:c r="M20" s="247"/>
      <x:c r="N20" s="247"/>
      <x:c r="O20" s="247"/>
      <x:c r="P20" s="247"/>
      <x:c r="Q20" s="247"/>
      <x:c r="R20" s="247"/>
      <x:c r="S20" s="247"/>
      <x:c r="T20" s="247"/>
      <x:c r="U20" s="247"/>
      <x:c r="V20" s="247"/>
      <x:c r="W20" s="247"/>
      <x:c r="X20" s="58" t="str">
        <x:v>情报</x:v>
      </x:c>
      <x:c r="Y20" s="247"/>
      <x:c r="Z20" s="26" t="str">
        <x:v>Assassin</x:v>
      </x:c>
      <x:c r="AA20" s="247"/>
      <x:c r="AB20" s="247"/>
      <x:c r="AC20" s="247"/>
      <x:c r="AD20" s="247"/>
      <x:c r="AE20" s="247"/>
      <x:c r="AF20" s="247"/>
    </x:row>
    <x:row r="21">
      <x:c r="A21" s="58" t="str">
        <x:v>医疗</x:v>
      </x:c>
      <x:c r="B21" s="58" t="str">
        <x:v>急救、诊断、药理</x:v>
      </x:c>
      <x:c r="C21" s="58" t="str">
        <x:v>学识／感知</x:v>
      </x:c>
      <x:c r="D21" s="58" t="n">
        <x:v>0</x:v>
      </x:c>
      <x:c r="E21" s="247"/>
      <x:c r="F21" s="247"/>
      <x:c r="G21" s="247"/>
      <x:c r="H21" s="247"/>
      <x:c r="I21" s="247"/>
      <x:c r="J21" s="247"/>
      <x:c r="K21" s="247"/>
      <x:c r="L21" s="247"/>
      <x:c r="M21" s="247"/>
      <x:c r="N21" s="247"/>
      <x:c r="O21" s="247"/>
      <x:c r="P21" s="247"/>
      <x:c r="Q21" s="247"/>
      <x:c r="R21" s="247"/>
      <x:c r="S21" s="247"/>
      <x:c r="T21" s="247"/>
      <x:c r="U21" s="247"/>
      <x:c r="V21" s="247"/>
      <x:c r="W21" s="247"/>
      <x:c r="X21" s="58" t="str">
        <x:v>军警训练</x:v>
      </x:c>
      <x:c r="Y21" s="247"/>
      <x:c r="Z21" s="26" t="str">
        <x:v>Berserker</x:v>
      </x:c>
      <x:c r="AA21" s="247"/>
      <x:c r="AB21" s="247"/>
      <x:c r="AC21" s="247"/>
      <x:c r="AD21" s="247"/>
      <x:c r="AE21" s="247"/>
      <x:c r="AF21" s="247"/>
    </x:row>
    <x:row r="22">
      <x:c r="A22" s="58" t="str">
        <x:v>魔术</x:v>
      </x:c>
      <x:c r="B22" s="58" t="str">
        <x:v>施术、识别、反制、灵脉</x:v>
      </x:c>
      <x:c r="C22" s="58" t="str">
        <x:v>魔力／学识</x:v>
      </x:c>
      <x:c r="D22" s="58" t="n">
        <x:v>1</x:v>
      </x:c>
      <x:c r="E22" s="247"/>
      <x:c r="F22" s="247"/>
      <x:c r="G22" s="247"/>
      <x:c r="H22" s="247"/>
      <x:c r="I22" s="247"/>
      <x:c r="J22" s="247"/>
      <x:c r="K22" s="247"/>
      <x:c r="L22" s="247"/>
      <x:c r="M22" s="247"/>
      <x:c r="N22" s="247"/>
      <x:c r="O22" s="247"/>
      <x:c r="P22" s="247"/>
      <x:c r="Q22" s="247"/>
      <x:c r="R22" s="247"/>
      <x:c r="S22" s="247"/>
      <x:c r="T22" s="247"/>
      <x:c r="U22" s="247"/>
      <x:c r="V22" s="247"/>
      <x:c r="W22" s="247"/>
      <x:c r="X22" s="58" t="str">
        <x:v>社区信任</x:v>
      </x:c>
      <x:c r="Y22" s="247"/>
      <x:c r="Z22" s="247"/>
      <x:c r="AA22" s="247"/>
      <x:c r="AB22" s="247"/>
      <x:c r="AC22" s="247"/>
      <x:c r="AD22" s="247"/>
      <x:c r="AE22" s="247"/>
      <x:c r="AF22" s="247"/>
    </x:row>
    <x:row r="23">
      <x:c r="A23" s="58" t="str">
        <x:v>交涉</x:v>
      </x:c>
      <x:c r="B23" s="58" t="str">
        <x:v>说服、安抚、欺骗、威慑</x:v>
      </x:c>
      <x:c r="C23" s="58" t="str">
        <x:v>意志／感知／学识</x:v>
      </x:c>
      <x:c r="D23" s="58" t="n">
        <x:v>0</x:v>
      </x:c>
      <x:c r="E23" s="247"/>
      <x:c r="F23" s="247"/>
      <x:c r="G23" s="247"/>
      <x:c r="H23" s="247"/>
      <x:c r="I23" s="247"/>
      <x:c r="J23" s="247"/>
      <x:c r="K23" s="247"/>
      <x:c r="L23" s="247"/>
      <x:c r="M23" s="247"/>
      <x:c r="N23" s="247"/>
      <x:c r="O23" s="247"/>
      <x:c r="P23" s="247"/>
      <x:c r="Q23" s="247"/>
      <x:c r="R23" s="247"/>
      <x:c r="S23" s="247"/>
      <x:c r="T23" s="247"/>
      <x:c r="U23" s="247"/>
      <x:c r="V23" s="247"/>
      <x:c r="W23" s="247"/>
      <x:c r="X23" s="247"/>
      <x:c r="Y23" s="247"/>
      <x:c r="Z23" s="247"/>
      <x:c r="AA23" s="247"/>
      <x:c r="AB23" s="247"/>
      <x:c r="AC23" s="247"/>
      <x:c r="AD23" s="247"/>
      <x:c r="AE23" s="247"/>
      <x:c r="AF23" s="247"/>
    </x:row>
    <x:row r="24" ht="24" customHeight="1">
      <x:c r="A24" s="58" t="str">
        <x:v>指挥</x:v>
      </x:c>
      <x:c r="B24" s="58" t="str">
        <x:v>调度、协同、御主支援</x:v>
      </x:c>
      <x:c r="C24" s="58" t="str">
        <x:v>意志／学识</x:v>
      </x:c>
      <x:c r="D24" s="58" t="n">
        <x:v>0</x:v>
      </x:c>
      <x:c r="E24" s="247"/>
      <x:c r="F24" s="247"/>
      <x:c r="G24" s="247"/>
      <x:c r="H24" s="247"/>
      <x:c r="I24" s="247"/>
      <x:c r="J24" s="247"/>
      <x:c r="K24" s="247"/>
      <x:c r="L24" s="247"/>
      <x:c r="M24" s="247"/>
      <x:c r="N24" s="247"/>
      <x:c r="O24" s="247"/>
      <x:c r="P24" s="247"/>
      <x:c r="Q24" s="247"/>
      <x:c r="R24" s="247"/>
      <x:c r="S24" s="247"/>
      <x:c r="T24" s="247"/>
      <x:c r="U24" s="247"/>
      <x:c r="V24" s="247"/>
      <x:c r="W24" s="247"/>
      <x:c r="X24" s="82" t="str">
        <x:v>Fate六参数映射</x:v>
      </x:c>
      <x:c r="Y24" s="83"/>
      <x:c r="Z24" s="83"/>
      <x:c r="AA24" s="84"/>
      <x:c r="AB24" s="247"/>
      <x:c r="AC24" s="247"/>
      <x:c r="AD24" s="247"/>
      <x:c r="AE24" s="247"/>
      <x:c r="AF24" s="247"/>
    </x:row>
    <x:row r="25">
      <x:c r="A25" s="247"/>
      <x:c r="B25" s="247"/>
      <x:c r="C25" s="247"/>
      <x:c r="D25" s="247"/>
      <x:c r="E25" s="247"/>
      <x:c r="F25" s="247"/>
      <x:c r="G25" s="247"/>
      <x:c r="H25" s="247"/>
      <x:c r="I25" s="247"/>
      <x:c r="J25" s="247"/>
      <x:c r="K25" s="247"/>
      <x:c r="L25" s="247"/>
      <x:c r="M25" s="247"/>
      <x:c r="N25" s="247"/>
      <x:c r="O25" s="247"/>
      <x:c r="P25" s="247"/>
      <x:c r="Q25" s="247"/>
      <x:c r="R25" s="247"/>
      <x:c r="S25" s="247"/>
      <x:c r="T25" s="247"/>
      <x:c r="U25" s="247"/>
      <x:c r="V25" s="247"/>
      <x:c r="W25" s="247"/>
      <x:c r="X25" s="88" t="str">
        <x:v>Fate参数</x:v>
      </x:c>
      <x:c r="Y25" s="88" t="str">
        <x:v>规则来源</x:v>
      </x:c>
      <x:c r="Z25" s="88" t="str">
        <x:v>计算方式</x:v>
      </x:c>
      <x:c r="AA25" s="88" t="str">
        <x:v>独立阶位</x:v>
      </x:c>
      <x:c r="AB25" s="247"/>
      <x:c r="AC25" s="247"/>
      <x:c r="AD25" s="247"/>
      <x:c r="AE25" s="247"/>
      <x:c r="AF25" s="247"/>
    </x:row>
    <x:row r="26">
      <x:c r="A26" s="247"/>
      <x:c r="B26" s="247"/>
      <x:c r="C26" s="247"/>
      <x:c r="D26" s="247"/>
      <x:c r="E26" s="247"/>
      <x:c r="F26" s="247"/>
      <x:c r="G26" s="247"/>
      <x:c r="H26" s="247"/>
      <x:c r="I26" s="247"/>
      <x:c r="J26" s="247"/>
      <x:c r="K26" s="247"/>
      <x:c r="L26" s="247"/>
      <x:c r="M26" s="247"/>
      <x:c r="N26" s="247"/>
      <x:c r="O26" s="247"/>
      <x:c r="P26" s="247"/>
      <x:c r="Q26" s="247"/>
      <x:c r="R26" s="247"/>
      <x:c r="S26" s="247"/>
      <x:c r="T26" s="247"/>
      <x:c r="U26" s="247"/>
      <x:c r="V26" s="247"/>
      <x:c r="W26" s="247"/>
      <x:c r="X26" s="58" t="str">
        <x:v>筋力</x:v>
      </x:c>
      <x:c r="Y26" s="58" t="str">
        <x:v>体魄</x:v>
      </x:c>
      <x:c r="Z26" s="58" t="str">
        <x:v>取最终体魄阶位</x:v>
      </x:c>
      <x:c r="AA26" s="58" t="str">
        <x:v>否</x:v>
      </x:c>
      <x:c r="AB26" s="247"/>
      <x:c r="AC26" s="247"/>
      <x:c r="AD26" s="247"/>
      <x:c r="AE26" s="247"/>
      <x:c r="AF26" s="247"/>
    </x:row>
    <x:row r="27">
      <x:c r="A27" s="247"/>
      <x:c r="B27" s="247"/>
      <x:c r="C27" s="247"/>
      <x:c r="D27" s="247"/>
      <x:c r="E27" s="247"/>
      <x:c r="F27" s="247"/>
      <x:c r="G27" s="247"/>
      <x:c r="H27" s="247"/>
      <x:c r="I27" s="247"/>
      <x:c r="J27" s="247"/>
      <x:c r="K27" s="247"/>
      <x:c r="L27" s="247"/>
      <x:c r="M27" s="247"/>
      <x:c r="N27" s="247"/>
      <x:c r="O27" s="247"/>
      <x:c r="P27" s="247"/>
      <x:c r="Q27" s="247"/>
      <x:c r="R27" s="247"/>
      <x:c r="S27" s="247"/>
      <x:c r="T27" s="247"/>
      <x:c r="U27" s="247"/>
      <x:c r="V27" s="247"/>
      <x:c r="W27" s="247"/>
      <x:c r="X27" s="58" t="str">
        <x:v>耐久</x:v>
      </x:c>
      <x:c r="Y27" s="58" t="str">
        <x:v>耐久</x:v>
      </x:c>
      <x:c r="Z27" s="58" t="str">
        <x:v>取最终耐久阶位</x:v>
      </x:c>
      <x:c r="AA27" s="58" t="str">
        <x:v>否</x:v>
      </x:c>
      <x:c r="AB27" s="247"/>
      <x:c r="AC27" s="247"/>
      <x:c r="AD27" s="247"/>
      <x:c r="AE27" s="247"/>
      <x:c r="AF27" s="247"/>
    </x:row>
    <x:row r="28">
      <x:c r="A28" s="247"/>
      <x:c r="B28" s="247"/>
      <x:c r="C28" s="247"/>
      <x:c r="D28" s="247"/>
      <x:c r="E28" s="247"/>
      <x:c r="F28" s="247"/>
      <x:c r="G28" s="247"/>
      <x:c r="H28" s="247"/>
      <x:c r="I28" s="247"/>
      <x:c r="J28" s="247"/>
      <x:c r="K28" s="247"/>
      <x:c r="L28" s="247"/>
      <x:c r="M28" s="247"/>
      <x:c r="N28" s="247"/>
      <x:c r="O28" s="247"/>
      <x:c r="P28" s="247"/>
      <x:c r="Q28" s="247"/>
      <x:c r="R28" s="247"/>
      <x:c r="S28" s="247"/>
      <x:c r="T28" s="247"/>
      <x:c r="U28" s="247"/>
      <x:c r="V28" s="247"/>
      <x:c r="W28" s="247"/>
      <x:c r="X28" s="58" t="str">
        <x:v>敏捷</x:v>
      </x:c>
      <x:c r="Y28" s="58" t="str">
        <x:v>灵巧</x:v>
      </x:c>
      <x:c r="Z28" s="58" t="str">
        <x:v>取最终灵巧阶位</x:v>
      </x:c>
      <x:c r="AA28" s="58" t="str">
        <x:v>否</x:v>
      </x:c>
      <x:c r="AB28" s="247"/>
      <x:c r="AC28" s="247"/>
      <x:c r="AD28" s="247"/>
      <x:c r="AE28" s="247"/>
      <x:c r="AF28" s="247"/>
    </x:row>
    <x:row r="29">
      <x:c r="A29" s="247"/>
      <x:c r="B29" s="247"/>
      <x:c r="C29" s="247"/>
      <x:c r="D29" s="247"/>
      <x:c r="E29" s="247"/>
      <x:c r="F29" s="247"/>
      <x:c r="G29" s="247"/>
      <x:c r="H29" s="247"/>
      <x:c r="I29" s="247"/>
      <x:c r="J29" s="247"/>
      <x:c r="K29" s="247"/>
      <x:c r="L29" s="247"/>
      <x:c r="M29" s="247"/>
      <x:c r="N29" s="247"/>
      <x:c r="O29" s="247"/>
      <x:c r="P29" s="247"/>
      <x:c r="Q29" s="247"/>
      <x:c r="R29" s="247"/>
      <x:c r="S29" s="247"/>
      <x:c r="T29" s="247"/>
      <x:c r="U29" s="247"/>
      <x:c r="V29" s="247"/>
      <x:c r="W29" s="247"/>
      <x:c r="X29" s="58" t="str">
        <x:v>魔力</x:v>
      </x:c>
      <x:c r="Y29" s="58" t="str">
        <x:v>魔力</x:v>
      </x:c>
      <x:c r="Z29" s="58" t="str">
        <x:v>取最终魔力阶位</x:v>
      </x:c>
      <x:c r="AA29" s="58" t="str">
        <x:v>否</x:v>
      </x:c>
      <x:c r="AB29" s="247"/>
      <x:c r="AC29" s="247"/>
      <x:c r="AD29" s="247"/>
      <x:c r="AE29" s="247"/>
      <x:c r="AF29" s="247"/>
    </x:row>
    <x:row r="30">
      <x:c r="A30" s="247"/>
      <x:c r="B30" s="247"/>
      <x:c r="C30" s="247"/>
      <x:c r="D30" s="247"/>
      <x:c r="E30" s="247"/>
      <x:c r="F30" s="247"/>
      <x:c r="G30" s="247"/>
      <x:c r="H30" s="247"/>
      <x:c r="I30" s="247"/>
      <x:c r="J30" s="247"/>
      <x:c r="K30" s="247"/>
      <x:c r="L30" s="247"/>
      <x:c r="M30" s="247"/>
      <x:c r="N30" s="247"/>
      <x:c r="O30" s="247"/>
      <x:c r="P30" s="247"/>
      <x:c r="Q30" s="247"/>
      <x:c r="R30" s="247"/>
      <x:c r="S30" s="247"/>
      <x:c r="T30" s="247"/>
      <x:c r="U30" s="247"/>
      <x:c r="V30" s="247"/>
      <x:c r="W30" s="247"/>
      <x:c r="X30" s="58" t="str">
        <x:v>幸运</x:v>
      </x:c>
      <x:c r="Y30" s="58" t="str">
        <x:v>从者专用</x:v>
      </x:c>
      <x:c r="Z30" s="58" t="str">
        <x:v>取幸运阶位</x:v>
      </x:c>
      <x:c r="AA30" s="58" t="str">
        <x:v>是</x:v>
      </x:c>
      <x:c r="AB30" s="247"/>
      <x:c r="AC30" s="247"/>
      <x:c r="AD30" s="247"/>
      <x:c r="AE30" s="247"/>
      <x:c r="AF30" s="247"/>
    </x:row>
    <x:row r="31">
      <x:c r="A31" s="247"/>
      <x:c r="B31" s="247"/>
      <x:c r="C31" s="247"/>
      <x:c r="D31" s="247"/>
      <x:c r="E31" s="247"/>
      <x:c r="F31" s="247"/>
      <x:c r="G31" s="247"/>
      <x:c r="H31" s="247"/>
      <x:c r="I31" s="247"/>
      <x:c r="J31" s="247"/>
      <x:c r="K31" s="247"/>
      <x:c r="L31" s="247"/>
      <x:c r="M31" s="247"/>
      <x:c r="N31" s="247"/>
      <x:c r="O31" s="247"/>
      <x:c r="P31" s="247"/>
      <x:c r="Q31" s="247"/>
      <x:c r="R31" s="247"/>
      <x:c r="S31" s="247"/>
      <x:c r="T31" s="247"/>
      <x:c r="U31" s="247"/>
      <x:c r="V31" s="247"/>
      <x:c r="W31" s="247"/>
      <x:c r="X31" s="58" t="str">
        <x:v>宝具</x:v>
      </x:c>
      <x:c r="Y31" s="58" t="str">
        <x:v>宝具模块</x:v>
      </x:c>
      <x:c r="Z31" s="58" t="str">
        <x:v>取宝具阶位</x:v>
      </x:c>
      <x:c r="AA31" s="58" t="str">
        <x:v>是</x:v>
      </x:c>
      <x:c r="AB31" s="247"/>
      <x:c r="AC31" s="247"/>
      <x:c r="AD31" s="247"/>
      <x:c r="AE31" s="247"/>
      <x:c r="AF31" s="247"/>
    </x:row>
  </x:sheetData>
  <x:mergeCells>
    <x:mergeCell ref="A1:AF1"/>
    <x:mergeCell ref="A2:AF2"/>
    <x:mergeCell ref="A3:D3"/>
    <x:mergeCell ref="F3:H3"/>
    <x:mergeCell ref="J3:O3"/>
    <x:mergeCell ref="A11:D11"/>
    <x:mergeCell ref="F11:I11"/>
    <x:mergeCell ref="K11:M11"/>
    <x:mergeCell ref="O11:S11"/>
    <x:mergeCell ref="V11:W11"/>
    <x:mergeCell ref="AB3:AC3"/>
    <x:mergeCell ref="AE3:AF3"/>
    <x:mergeCell ref="X24:AA24"/>
  </x:mergeCells>
  <x:pageMargins left="0.7" right="0.7" top="0.75" bottom="0.75" header="0.3" footer="0.3"/>
</x:worksheet>
</file>